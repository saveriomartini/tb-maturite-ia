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Adoption vs maturité" sheetId="2" state="visible" r:id="rId4"/>
    <sheet name="Les deux modèles" sheetId="3" state="visible" r:id="rId5"/>
    <sheet name="Croisement" sheetId="4" state="visible" r:id="rId6"/>
    <sheet name="Échelle des niveaux" sheetId="5" state="visible" r:id="rId7"/>
    <sheet name="Évaluation rapide" sheetId="6" state="visible" r:id="rId8"/>
    <sheet name="Outil en ligne" sheetId="7" state="visible" r:id="rId9"/>
    <sheet name="Barème" sheetId="8" state="visible" r:id="rId10"/>
    <sheet name="Source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<sst xmlns="http://schemas.openxmlformats.org/spreadsheetml/2006/main" count="334" uniqueCount="317">
  <si>
    <t xml:space="preserve">Maturité de l'adoption de l'IA — dossier de cadrage et d'évaluation</t>
  </si>
  <si>
    <t xml:space="preserve">À quoi sert ce classeur</t>
  </si>
  <si>
    <t xml:space="preserve">Poser la différence entre adoption et maturité, croiser deux modèles de référence (un modèle de grande organisation et un modèle conçu pour les PME), et renvoyer vers l'outil en ligne qui porte le questionnaire d'évaluation complet.</t>
  </si>
  <si>
    <t xml:space="preserve">Contenu</t>
  </si>
  <si>
    <t xml:space="preserve">Onglet</t>
  </si>
  <si>
    <t xml:space="preserve">Ce qu'il contient</t>
  </si>
  <si>
    <t xml:space="preserve">Adoption vs maturité</t>
  </si>
  <si>
    <t xml:space="preserve">Les deux notions, ce qu'on mesure, ce qu'on ne mesure pas. À lire en premier.</t>
  </si>
  <si>
    <t xml:space="preserve">Les deux modèles</t>
  </si>
  <si>
    <t xml:space="preserve">Comparaison ligne à ligne : objet, public, structure, notation, validation, limites.</t>
  </si>
  <si>
    <t xml:space="preserve">Croisement</t>
  </si>
  <si>
    <t xml:space="preserve">Correspondance entre les 5 piliers PME et les 8 dimensions du modèle SEI. Ce que chacun apporte à l'autre.</t>
  </si>
  <si>
    <t xml:space="preserve">Échelle des niveaux</t>
  </si>
  <si>
    <t xml:space="preserve">Les 5 paliers et leur équivalence avec les échelles Gartner, Altimeter et Element AI.</t>
  </si>
  <si>
    <t xml:space="preserve">Évaluation rapide</t>
  </si>
  <si>
    <t xml:space="preserve">Questionnaire de 20 questions, score 0–100 par pilier. Se remplit ici, dans Excel.</t>
  </si>
  <si>
    <t xml:space="preserve">Outil en ligne</t>
  </si>
  <si>
    <t xml:space="preserve">Le questionnaire complet (30 domaines, 8 dimensions) et les alternatives publiques.</t>
  </si>
  <si>
    <t xml:space="preserve">Barème</t>
  </si>
  <si>
    <t xml:space="preserve">Bornes de conversion score → palier. Modifiable.</t>
  </si>
  <si>
    <t xml:space="preserve">Sources</t>
  </si>
  <si>
    <t xml:space="preserve">Références précises et conditions de réutilisation.</t>
  </si>
  <si>
    <t xml:space="preserve">Comment remplir</t>
  </si>
  <si>
    <t xml:space="preserve">Cellules jaunes</t>
  </si>
  <si>
    <t xml:space="preserve">Les seules à remplir. Elles se trouvent dans l'onglet « Évaluation rapide », colonne Réponse, et dans l'onglet « Outil en ligne » (adresse de votre outil hébergé).</t>
  </si>
  <si>
    <t xml:space="preserve">Cellules blanches</t>
  </si>
  <si>
    <t xml:space="preserve">Formules et contenu de référence. Ne pas écraser.</t>
  </si>
  <si>
    <t xml:space="preserve">Échelle de réponse</t>
  </si>
  <si>
    <t xml:space="preserve">0 = rien en place · 1 = amorcé, informel · 2 = en place sur un périmètre limité · 3 = en place, documenté et suivi · 4 = piloté par la mesure et amélioré en continu.</t>
  </si>
  <si>
    <t xml:space="preserve">Exemple</t>
  </si>
  <si>
    <t xml:space="preserve">Question Q5 « données collectées en continu », poids 3, réponse 2 → contribue 3 × 2 = 6 points sur 3 × 4 = 12 possibles pour cette question.</t>
  </si>
  <si>
    <t xml:space="preserve">Qui répond</t>
  </si>
  <si>
    <t xml:space="preserve">Direction et responsables métier. Aucune compétence technique en IA n'est requise — c'est le parti pris du modèle PME.</t>
  </si>
  <si>
    <t xml:space="preserve">Avertissement</t>
  </si>
  <si>
    <t xml:space="preserve">Document de travail non officiel, sans lien avec le SEI, Accenture, la SUPSI ni l'IFAC. Les structures sont adaptées de deux publications sous licence CC BY-NC-ND 4.0 ; les formulations, les questions, les poids et la règle de notation sont originaux. Voir l'onglet Sources.</t>
  </si>
  <si>
    <t xml:space="preserve">Adoption et maturité : deux questions différentes</t>
  </si>
  <si>
    <t xml:space="preserve">Les deux mots sont souvent employés l'un pour l'autre. Les distinguer change ce qu'on mesure, qui on interroge, et ce qu'on décide ensuite.</t>
  </si>
  <si>
    <t xml:space="preserve">Notion</t>
  </si>
  <si>
    <t xml:space="preserve">Ce que ça désigne</t>
  </si>
  <si>
    <t xml:space="preserve">La question qu'on pose</t>
  </si>
  <si>
    <t xml:space="preserve">Adoption</t>
  </si>
  <si>
    <t xml:space="preserve">Le fait de mettre l'IA en usage réel : des cas d'usage identifiés, des systèmes en production, des processus qui changent. C'est un état de déploiement, observable.</t>
  </si>
  <si>
    <t xml:space="preserve">Est-ce que l'IA est réellement utilisée, où, et pour quoi ?</t>
  </si>
  <si>
    <t xml:space="preserve">Maturité</t>
  </si>
  <si>
    <t xml:space="preserve">La capacité à obtenir ces résultats de façon prévisible et reproductible : pratiques définies, mesurées, gouvernées, tenables dans le temps. C'est une aptitude, pas un état.</t>
  </si>
  <si>
    <t xml:space="preserve">Si on recommence sur un autre cas d'usage, obtient-on le même résultat ?</t>
  </si>
  <si>
    <t xml:space="preserve">Readiness (préparation)</t>
  </si>
  <si>
    <t xml:space="preserve">Le socle disponible avant de démarrer : données, compétences, infrastructure, culture. C'est l'angle du modèle PME.</t>
  </si>
  <si>
    <t xml:space="preserve">Avons-nous de quoi démarrer sans échouer pour de mauvaises raisons ?</t>
  </si>
  <si>
    <t xml:space="preserve">Maturité de l'IA</t>
  </si>
  <si>
    <t xml:space="preserve">La qualité des modèles eux-mêmes : exactitude, robustesse, biais. Ce n'est pas l'objet de ce dossier.</t>
  </si>
  <si>
    <t xml:space="preserve">Le modèle fonctionne-t-il bien ? (question d'ingénierie, pas de direction)</t>
  </si>
  <si>
    <t xml:space="preserve">Le point tranché</t>
  </si>
  <si>
    <t xml:space="preserve">On évalue la maturité de l'ADOPTION, pas la maturité de l'IA. Ce qui échoue rarement, c'est la technologie ; ce qui échoue, c'est l'organisation autour d'elle. Le rapport MIT cité par le SEI chiffre 30 à 40 milliards de dollars investis en IA générative pour 95 % d'organisations déclarant aucun retour. Côté PME, le constat est symétrique : 18 % seulement des dirigeants déclarent une stratégie claire de collecte et d'usage des données.</t>
  </si>
  <si>
    <t xml:space="preserve">Conséquences pratiques</t>
  </si>
  <si>
    <t xml:space="preserve">Si vous mesurez…</t>
  </si>
  <si>
    <t xml:space="preserve">…vous obtenez</t>
  </si>
  <si>
    <t xml:space="preserve">…et vous décidez</t>
  </si>
  <si>
    <t xml:space="preserve">L'adoption seule</t>
  </si>
  <si>
    <t xml:space="preserve">Un décompte de cas d'usage et d'outils déployés.</t>
  </si>
  <si>
    <t xml:space="preserve">De faire plus de pilotes. Le risque : une collection d'essais qui ne tiennent pas en production.</t>
  </si>
  <si>
    <t xml:space="preserve">La readiness seule</t>
  </si>
  <si>
    <t xml:space="preserve">Une photo du socle : données, compétences, culture.</t>
  </si>
  <si>
    <t xml:space="preserve">D'investir dans les fondations. Le risque : ne jamais passer à l'acte, en attendant d'être « prêt ».</t>
  </si>
  <si>
    <t xml:space="preserve">La maturité de l'adoption</t>
  </si>
  <si>
    <t xml:space="preserve">Un palier, les domaines qui le bloquent, une feuille de route ordonnée.</t>
  </si>
  <si>
    <t xml:space="preserve">Quoi renforcer, dans quel ordre, avec quelle preuve que c'est fait.</t>
  </si>
  <si>
    <t xml:space="preserve">Les deux modèles de référence, comparés</t>
  </si>
  <si>
    <t xml:space="preserve">Ils ne visent ni la même organisation, ni le même usage. Ils sont complémentaires plus que concurrents.</t>
  </si>
  <si>
    <t xml:space="preserve">Critère</t>
  </si>
  <si>
    <t xml:space="preserve">CMU SEI + Accenture (2025)</t>
  </si>
  <si>
    <t xml:space="preserve">Bettoni et al., SUPSI / KITT4SME (2021)</t>
  </si>
  <si>
    <t xml:space="preserve">Titre</t>
  </si>
  <si>
    <t xml:space="preserve">A Preliminary Report on a Model for Maturing AI Adoption</t>
  </si>
  <si>
    <t xml:space="preserve">An AI adoption model for SMEs: a conceptual framework</t>
  </si>
  <si>
    <t xml:space="preserve">Objet</t>
  </si>
  <si>
    <t xml:space="preserve">Maturité de l'adoption de l'IA : institutionnaliser des pratiques pour des résultats prévisibles.</t>
  </si>
  <si>
    <t xml:space="preserve">Préparation (readiness) à l'IA et promotion de son adoption dans les PME industrielles.</t>
  </si>
  <si>
    <t xml:space="preserve">Public visé</t>
  </si>
  <si>
    <t xml:space="preserve">Grandes organisations, secteur public, programmes ; y compris le département de la Défense américain.</t>
  </si>
  <si>
    <t xml:space="preserve">Dirigeants et cadres de PME manufacturières, sans expertise IA ni numérique.</t>
  </si>
  <si>
    <t xml:space="preserve">Structure</t>
  </si>
  <si>
    <t xml:space="preserve">8 dimensions, 30 domaines de capacité, objectifs et pratiques spécifiques, attributs de contexte.</t>
  </si>
  <si>
    <t xml:space="preserve">5 piliers d'entreprise, un questionnaire en 3 sections, des lignes directrices par pilier.</t>
  </si>
  <si>
    <t xml:space="preserve">Axes</t>
  </si>
  <si>
    <t xml:space="preserve">Stratégie · Personnes et culture · Refonte des processus · Risque et gouvernance · Données · Ingénierie · Exploitation · Écosystème.</t>
  </si>
  <si>
    <t xml:space="preserve">Usine numérique et intelligente · Stratégie des données · Ressources humaines · Structure organisationnelle · Culture d'entreprise.</t>
  </si>
  <si>
    <t xml:space="preserve">Notation</t>
  </si>
  <si>
    <t xml:space="preserve">Paliers 1 à 5, atteints quand les domaines déclencheurs le sont. Logique du maillon faible.</t>
  </si>
  <si>
    <t xml:space="preserve">Score pondéré de 0 à 100 par pilier, calculé à partir des réponses au questionnaire.</t>
  </si>
  <si>
    <t xml:space="preserve">Formule</t>
  </si>
  <si>
    <t xml:space="preserve">Pas de formule publiée à ce stade ; le modèle complet est annoncé pour le printemps 2026.</t>
  </si>
  <si>
    <t xml:space="preserve">Somme pondérée des scores de réponse, rapportée au score maximal atteignable, ×100.</t>
  </si>
  <si>
    <t xml:space="preserve">Base empirique</t>
  </si>
  <si>
    <t xml:space="preserve">Plus de 100 modèles existants revus, deux douzaines d'entretiens de dirigeants, pilotes en cours.</t>
  </si>
  <si>
    <t xml:space="preserve">39 entreprises européennes : 30 PME et 9 grandes entreprises comme groupe témoin.</t>
  </si>
  <si>
    <t xml:space="preserve">Ce qu'il apporte</t>
  </si>
  <si>
    <t xml:space="preserve">La discipline de mesure, la gouvernance du risque, tout le cycle de vie technique, l'écosystème.</t>
  </si>
  <si>
    <t xml:space="preserve">L'accessibilité : quelques questions, un score lisible, un profil comparable à d'autres entreprises.</t>
  </si>
  <si>
    <t xml:space="preserve">Sa limite</t>
  </si>
  <si>
    <t xml:space="preserve">Lourd pour une PME : 30 domaines, du vocabulaire d'ingénierie, un travail d'assesseur.</t>
  </si>
  <si>
    <t xml:space="preserve">Peu de couverture du risque, de la gouvernance et du cycle de vie ; antérieur à l'IA générative et agentique.</t>
  </si>
  <si>
    <t xml:space="preserve">Résultat visé</t>
  </si>
  <si>
    <t xml:space="preserve">Une feuille de route priorisée, pas une certification.</t>
  </si>
  <si>
    <t xml:space="preserve">Un diagnostic et des recommandations, utilisables aussi à l'échelle d'un cluster ou d'un secteur.</t>
  </si>
  <si>
    <t xml:space="preserve">Croisement des deux cadres</t>
  </si>
  <si>
    <t xml:space="preserve">Chaque pilier PME correspond à une ou plusieurs dimensions du modèle SEI. La colonne de droite indique ce que le modèle SEI ajoute quand la PME veut aller plus loin que la préparation.</t>
  </si>
  <si>
    <t xml:space="preserve">Pilier (modèle PME, 2021)</t>
  </si>
  <si>
    <t xml:space="preserve">Dimensions et domaines correspondants (modèle SEI, 2025)</t>
  </si>
  <si>
    <t xml:space="preserve">Ce que le croisement ajoute</t>
  </si>
  <si>
    <t xml:space="preserve">Usine numérique et intelligente</t>
  </si>
  <si>
    <t xml:space="preserve">Écosystème → Infrastructure technologique · Ingénierie → Intégration technologique · Exploitation → Collecte des données de production</t>
  </si>
  <si>
    <t xml:space="preserve">Le socle numérique est un prérequis, pas un pilier de maturité IA. Le modèle SEI le range dans l'écosystème et l'ingénierie, et y ajoute le déploiement à l'échelle.</t>
  </si>
  <si>
    <t xml:space="preserve">Stratégie des données</t>
  </si>
  <si>
    <t xml:space="preserve">Données → Gestion des données, Acquisition et qualité, Accès / sécurité / confidentialité</t>
  </si>
  <si>
    <t xml:space="preserve">La sécurité et la confidentialité deviennent un domaine à part entière : l'IA générative élargit la surface d'attaque et expose les données envoyées aux services externes.</t>
  </si>
  <si>
    <t xml:space="preserve">Ressources humaines</t>
  </si>
  <si>
    <t xml:space="preserve">Personnes et culture → Compétences et formation, Métiers prêts pour l'IA · Ingénierie → Transparence et explicabilité · Refonte → Automatisation avec humain dans la boucle</t>
  </si>
  <si>
    <t xml:space="preserve">L'explicabilité passe du registre de la confiance des salariés à une exigence de conception, calibrée sur le niveau de risque.</t>
  </si>
  <si>
    <t xml:space="preserve">Structure organisationnelle</t>
  </si>
  <si>
    <t xml:space="preserve">Stratégie organisationnelle → Stratégie IA, Structure alignée, Partenariats et achats · Refonte → Mesure et analyse</t>
  </si>
  <si>
    <t xml:space="preserve">La mesure devient un domaine autonome : sans référence de départ, aucun retour sur investissement n'est démontrable.</t>
  </si>
  <si>
    <t xml:space="preserve">Culture d'entreprise</t>
  </si>
  <si>
    <t xml:space="preserve">Personnes et culture → Culture organisationnelle · Refonte → Expérimentation</t>
  </si>
  <si>
    <t xml:space="preserve">L'expérimentation cesse d'être un trait culturel pour devenir une capacité outillée : protocole, critères de succès, comparaison avec l'existant.</t>
  </si>
  <si>
    <t xml:space="preserve">— (absent du modèle PME)</t>
  </si>
  <si>
    <t xml:space="preserve">Risque et gouvernance → Conformité et normes, Gestion des risques, IA responsable</t>
  </si>
  <si>
    <t xml:space="preserve">Absence assumée en 2021, intenable en 2026 : le règlement européen sur l'IA et les obligations sectorielles s'appliquent aussi aux PME.</t>
  </si>
  <si>
    <t xml:space="preserve">Exploitation et maintien → Supervision, Gestion des modèles, chaînes *Ops</t>
  </si>
  <si>
    <t xml:space="preserve">Le point aveugle le plus coûteux : un modèle change de version et le service se dégrade sans que personne ne le voie.</t>
  </si>
  <si>
    <t xml:space="preserve">Écosystème → Chaîne d'approvisionnement · Ingénierie → Architecture IA</t>
  </si>
  <si>
    <t xml:space="preserve">Une PME qui achète son IA dépend entièrement de fournisseurs : savoir les évaluer devient sa principale compétence technique.</t>
  </si>
  <si>
    <t xml:space="preserve">Les paliers et leurs équivalences</t>
  </si>
  <si>
    <t xml:space="preserve">Le modèle SEI sert d'échelle de référence. Les trois autres colonnes sont les échelles recensées dans l'article PME ; elles disent la même chose avec d'autres mots, ce qui aide à parler à un interlocuteur qui utilise déjà l'une d'elles.</t>
  </si>
  <si>
    <t xml:space="preserve">N°</t>
  </si>
  <si>
    <t xml:space="preserve">SEI (2025)</t>
  </si>
  <si>
    <t xml:space="preserve">Gartner (2019)</t>
  </si>
  <si>
    <t xml:space="preserve">Altimeter (2018)</t>
  </si>
  <si>
    <t xml:space="preserve">Element AI (2019)</t>
  </si>
  <si>
    <t xml:space="preserve">Ce qui caractérise le palier</t>
  </si>
  <si>
    <t xml:space="preserve">IA exploratoire</t>
  </si>
  <si>
    <t xml:space="preserve">Awareness</t>
  </si>
  <si>
    <t xml:space="preserve">Exploring</t>
  </si>
  <si>
    <t xml:space="preserve">On apprend. Essais, cas d'usage envisagés, aucun engagement lourd. Le risque à ce stade est l'emballement.</t>
  </si>
  <si>
    <t xml:space="preserve">IA implémentée</t>
  </si>
  <si>
    <t xml:space="preserve">Active</t>
  </si>
  <si>
    <t xml:space="preserve">Experimenting</t>
  </si>
  <si>
    <t xml:space="preserve">Des systèmes sont en production sur un périmètre limité, avec les pratiques de données et de mesure qui vont avec.</t>
  </si>
  <si>
    <t xml:space="preserve">IA alignée</t>
  </si>
  <si>
    <t xml:space="preserve">Operational</t>
  </si>
  <si>
    <t xml:space="preserve">Formalizing</t>
  </si>
  <si>
    <t xml:space="preserve">Les processus sont repensés autour de l'IA, la gouvernance et les responsabilités sont définies et suivies.</t>
  </si>
  <si>
    <t xml:space="preserve">IA à l'échelle</t>
  </si>
  <si>
    <t xml:space="preserve">Systemic</t>
  </si>
  <si>
    <t xml:space="preserve">Integrating</t>
  </si>
  <si>
    <t xml:space="preserve">Optimizing</t>
  </si>
  <si>
    <t xml:space="preserve">L'IA est répliquée dans l'organisation avec une performance prévisible et des ressources partagées.</t>
  </si>
  <si>
    <t xml:space="preserve">IA prête pour l'avenir</t>
  </si>
  <si>
    <t xml:space="preserve">Transformational</t>
  </si>
  <si>
    <t xml:space="preserve">— (4 niveaux)</t>
  </si>
  <si>
    <t xml:space="preserve">Transforming</t>
  </si>
  <si>
    <t xml:space="preserve">L'innovation par l'IA est régulière et anticipée ; les nouvelles technologies sont absorbées sans désorganisation.</t>
  </si>
  <si>
    <t xml:space="preserve">Note : l'échelle Altimeter ne compte que quatre stades ; son stade « Integrating » recouvre les paliers 4 et 5. Les paliers ne se sautent pas — c'est le principe commun à tous ces modèles, hérité du CMM.</t>
  </si>
  <si>
    <t xml:space="preserve">Évaluation rapide — 20 questions, 5 piliers</t>
  </si>
  <si>
    <t xml:space="preserve">Version courte, dérivée du modèle PME. Répondez de 0 à 4 dans les cellules jaunes. Pour l'évaluation complète (30 domaines, paliers et feuille de route), voir l'onglet « Outil en ligne ».</t>
  </si>
  <si>
    <t xml:space="preserve">Échelle : 0 = rien en place · 1 = amorcé, informel · 2 = en place sur un périmètre limité · 3 = en place, documenté et suivi · 4 = piloté par la mesure et amélioré en continu. Une question laissée vide compte comme 0 : répondez à toutes les questions d'un pilier avant de lire son score.</t>
  </si>
  <si>
    <t xml:space="preserve">Question</t>
  </si>
  <si>
    <t xml:space="preserve">0 —</t>
  </si>
  <si>
    <t xml:space="preserve">4 —</t>
  </si>
  <si>
    <t xml:space="preserve">Poids</t>
  </si>
  <si>
    <t xml:space="preserve">Réponse</t>
  </si>
  <si>
    <t xml:space="preserve">Q1</t>
  </si>
  <si>
    <t xml:space="preserve">Les processus clés produisent-ils des données numériques exploitables ?</t>
  </si>
  <si>
    <t xml:space="preserve">Tout se fait sur papier ou de mémoire.</t>
  </si>
  <si>
    <t xml:space="preserve">Chaque étape clé laisse une trace numérique fiable.</t>
  </si>
  <si>
    <t xml:space="preserve">Q2</t>
  </si>
  <si>
    <t xml:space="preserve">Les systèmes en place (ERP, MES, CRM, capteurs) sont-ils reliés entre eux ?</t>
  </si>
  <si>
    <t xml:space="preserve">Chaque système vit isolé.</t>
  </si>
  <si>
    <t xml:space="preserve">Les systèmes échangent automatiquement, sans ressaisie.</t>
  </si>
  <si>
    <t xml:space="preserve">Q3</t>
  </si>
  <si>
    <t xml:space="preserve">Disposez-vous d'une représentation à jour des opérations (tableaux de bord) ?</t>
  </si>
  <si>
    <t xml:space="preserve">Aucune vision consolidée.</t>
  </si>
  <si>
    <t xml:space="preserve">Vision consolidée, proche du temps réel, utilisée pour décider.</t>
  </si>
  <si>
    <t xml:space="preserve">Q4</t>
  </si>
  <si>
    <t xml:space="preserve">Une décision issue de l'analyse peut-elle être exécutée automatiquement ?</t>
  </si>
  <si>
    <t xml:space="preserve">Toute action passe par une intervention manuelle.</t>
  </si>
  <si>
    <t xml:space="preserve">Des décisions courantes s'exécutent automatiquement, sous contrôle.</t>
  </si>
  <si>
    <t xml:space="preserve">Q5</t>
  </si>
  <si>
    <t xml:space="preserve">Les données utiles sont-elles collectées en continu et stockées de façon fiable ?</t>
  </si>
  <si>
    <t xml:space="preserve">Collecte ponctuelle ou inexistante.</t>
  </si>
  <si>
    <t xml:space="preserve">Collecte continue, stockage fiable et documenté.</t>
  </si>
  <si>
    <t xml:space="preserve">Q6</t>
  </si>
  <si>
    <t xml:space="preserve">Sont-elles accessibles, filtrées et étiquetées pour un usage analytique ?</t>
  </si>
  <si>
    <t xml:space="preserve">Données brutes, dispersées, inexploitables en l'état.</t>
  </si>
  <si>
    <t xml:space="preserve">Données prêtes à l'emploi pour l'analyse et l'entraînement.</t>
  </si>
  <si>
    <t xml:space="preserve">Q7</t>
  </si>
  <si>
    <t xml:space="preserve">La gouvernance des données est-elle définie (propriété, qualité, sécurité) ?</t>
  </si>
  <si>
    <t xml:space="preserve">Personne n'en est responsable.</t>
  </si>
  <si>
    <t xml:space="preserve">Responsables nommés, règles écrites, contrôles effectués.</t>
  </si>
  <si>
    <t xml:space="preserve">Q8</t>
  </si>
  <si>
    <t xml:space="preserve">L'infrastructure informatique suffit-elle à traiter et héberger ces données ?</t>
  </si>
  <si>
    <t xml:space="preserve">Moyens improvisés, saturés.</t>
  </si>
  <si>
    <t xml:space="preserve">Ressources dimensionnées et gérées comme un service.</t>
  </si>
  <si>
    <t xml:space="preserve">Q9</t>
  </si>
  <si>
    <t xml:space="preserve">Les collaborateurs ont-ils les compétences numériques de base pour utiliser l'IA ?</t>
  </si>
  <si>
    <t xml:space="preserve">Compétences absentes ou très inégales.</t>
  </si>
  <si>
    <t xml:space="preserve">Socle commun acquis, entretenu et vérifié.</t>
  </si>
  <si>
    <t xml:space="preserve">Q10</t>
  </si>
  <si>
    <t xml:space="preserve">Un plan de montée en compétences existe-t-il ?</t>
  </si>
  <si>
    <t xml:space="preserve">Aucun plan ; chacun se débrouille.</t>
  </si>
  <si>
    <t xml:space="preserve">Plan financé, par rôle, avec un suivi dans le temps.</t>
  </si>
  <si>
    <t xml:space="preserve">Q11</t>
  </si>
  <si>
    <t xml:space="preserve">Les collaborateurs comprennent-ils comment l'IA produit ses résultats ?</t>
  </si>
  <si>
    <t xml:space="preserve">L'outil est une boîte noire.</t>
  </si>
  <si>
    <t xml:space="preserve">Sources, limites et cas d'erreur sont explicités et compris.</t>
  </si>
  <si>
    <t xml:space="preserve">Q12</t>
  </si>
  <si>
    <t xml:space="preserve">La répartition des tâches entre humain et IA est-elle définie ?</t>
  </si>
  <si>
    <t xml:space="preserve">Le rôle de chacun n'est pas posé.</t>
  </si>
  <si>
    <t xml:space="preserve">Points de contrôle humains définis selon le niveau de risque.</t>
  </si>
  <si>
    <t xml:space="preserve">Q13</t>
  </si>
  <si>
    <t xml:space="preserve">Une personne ou une équipe est-elle responsable des initiatives IA ?</t>
  </si>
  <si>
    <t xml:space="preserve">Personne n'est désigné.</t>
  </si>
  <si>
    <t xml:space="preserve">Responsabilité claire, avec un mandat et du temps dédié.</t>
  </si>
  <si>
    <t xml:space="preserve">Q14</t>
  </si>
  <si>
    <t xml:space="preserve">Un budget est-il alloué aux pilotes et aux projets IA ?</t>
  </si>
  <si>
    <t xml:space="preserve">Aucun budget identifié.</t>
  </si>
  <si>
    <t xml:space="preserve">Budget pluriannuel distinguant pilotes et projets stratégiques.</t>
  </si>
  <si>
    <t xml:space="preserve">Q15</t>
  </si>
  <si>
    <t xml:space="preserve">Les projets IA sont-ils reliés à des objectifs métier mesurables ?</t>
  </si>
  <si>
    <t xml:space="preserve">Aucun indicateur, aucune référence de départ.</t>
  </si>
  <si>
    <t xml:space="preserve">Référence de départ, indicateurs suivis, retour sur investissement calculé.</t>
  </si>
  <si>
    <t xml:space="preserve">Q16</t>
  </si>
  <si>
    <t xml:space="preserve">Les changements d'organisation induits par l'IA sont-ils conduits progressivement ?</t>
  </si>
  <si>
    <t xml:space="preserve">Changements subis, au coup par coup.</t>
  </si>
  <si>
    <t xml:space="preserve">Ajustements continus, pilotés, expliqués aux équipes.</t>
  </si>
  <si>
    <t xml:space="preserve">Q17</t>
  </si>
  <si>
    <t xml:space="preserve">L'entreprise encourage-t-elle l'expérimentation et l'apprentissage par l'erreur ?</t>
  </si>
  <si>
    <t xml:space="preserve">L'échec se paie ; personne ne tente.</t>
  </si>
  <si>
    <t xml:space="preserve">Les essais sont cadrés, encouragés et débriefés.</t>
  </si>
  <si>
    <t xml:space="preserve">Q18</t>
  </si>
  <si>
    <t xml:space="preserve">Les collaborateurs font-ils confiance aux outils d'IA proposés ?</t>
  </si>
  <si>
    <t xml:space="preserve">Méfiance ou rejet.</t>
  </si>
  <si>
    <t xml:space="preserve">Confiance fondée sur l'usage et sur des résultats vérifiables.</t>
  </si>
  <si>
    <t xml:space="preserve">Q19</t>
  </si>
  <si>
    <t xml:space="preserve">Les succès et les échecs des essais IA sont-ils partagés ouvertement ?</t>
  </si>
  <si>
    <t xml:space="preserve">Rien ne circule.</t>
  </si>
  <si>
    <t xml:space="preserve">Retours d'expérience partagés entre équipes, y compris les échecs.</t>
  </si>
  <si>
    <t xml:space="preserve">Q20</t>
  </si>
  <si>
    <t xml:space="preserve">La direction porte-t-elle visiblement le sujet ?</t>
  </si>
  <si>
    <t xml:space="preserve">Sujet délégué et silencieux.</t>
  </si>
  <si>
    <t xml:space="preserve">Engagement visible, arbitrages assumés, obstacles levés.</t>
  </si>
  <si>
    <t xml:space="preserve">Résultat par pilier</t>
  </si>
  <si>
    <t xml:space="preserve">Pilier</t>
  </si>
  <si>
    <t xml:space="preserve">Score sur 100</t>
  </si>
  <si>
    <t xml:space="preserve">Palier indicatif</t>
  </si>
  <si>
    <t xml:space="preserve">Point d'attention</t>
  </si>
  <si>
    <t xml:space="preserve">Palier global (maillon faible)</t>
  </si>
  <si>
    <t xml:space="preserve">Moyenne des cinq piliers</t>
  </si>
  <si>
    <t xml:space="preserve">pour comparaison uniquement — la moyenne masque le maillon faible</t>
  </si>
  <si>
    <t xml:space="preserve">Méthode : score du pilier = somme des (poids × réponse) rapportée au maximum atteignable (poids × 4), en pourcentage. Principe repris de Bettoni et al. (2021), où les poids sont fixés par les auteurs selon leur expertise ; ceux utilisés ici sont les nôtres et se modifient librement en colonne F. Le palier global retient le pilier le plus faible, conformément à la logique du modèle SEI : un palier n'est pas acquis tant qu'un domaine déclencheur ne l'est pas.</t>
  </si>
  <si>
    <t xml:space="preserve">Passer à l'évaluation complète en ligne</t>
  </si>
  <si>
    <t xml:space="preserve">L'évaluation rapide ci-contre donne un profil. L'évaluation complète donne un palier certifié et une feuille de route.</t>
  </si>
  <si>
    <t xml:space="preserve">Votre outil</t>
  </si>
  <si>
    <t xml:space="preserve">Adresse de l'outil hébergé</t>
  </si>
  <si>
    <t xml:space="preserve">https://</t>
  </si>
  <si>
    <t xml:space="preserve">Collez ici l'adresse une fois le fichier outil-maturite-adoption-ia.html mis en ligne (GitHub Pages, Netlify Drop, SharePoint ou intranet). Le fichier fonctionne aussi hors ligne : il suffit de l'ouvrir dans un navigateur, aucune installation ni serveur.</t>
  </si>
  <si>
    <t xml:space="preserve">30 domaines · 8 dimensions · 5 paliers</t>
  </si>
  <si>
    <t xml:space="preserve">Notation au maillon faible, attributs de contexte, domaines exclus du calcul si hors périmètre, profil radar et feuille de route listant les domaines qui bloquent le palier suivant. Rapport copiable.</t>
  </si>
  <si>
    <t xml:space="preserve">Alternatives publiques</t>
  </si>
  <si>
    <t xml:space="preserve">Ressource</t>
  </si>
  <si>
    <t xml:space="preserve">Adresse</t>
  </si>
  <si>
    <t xml:space="preserve">Ce qu'elle vaut</t>
  </si>
  <si>
    <t xml:space="preserve">OCDE — SME AI Readiness Tool</t>
  </si>
  <si>
    <t xml:space="preserve">https://sme.oecd.ai/</t>
  </si>
  <si>
    <t xml:space="preserve">Questionnaire gratuit d'environ cinq minutes pour dirigeants de PME, sans expertise technique, aucune donnée conservée. Restriction : réservé aux pays du G7, donc pas à la Suisse ; version pilote en anglais. Utile comme comparaison rapide.</t>
  </si>
  <si>
    <t xml:space="preserve">KITT4SME</t>
  </si>
  <si>
    <t xml:space="preserve">https://kitt4sme.eu/</t>
  </si>
  <si>
    <t xml:space="preserve">Projet européen Horizon 2020 d'où vient le modèle PME de 2021. Questionnaire adaptatif orienté solutions pour PME manufacturières.</t>
  </si>
  <si>
    <t xml:space="preserve">SEI — programme early adopter</t>
  </si>
  <si>
    <t xml:space="preserve">https://www.sei.cmu.edu/</t>
  </si>
  <si>
    <t xml:space="preserve">Le modèle complet est annoncé pour le printemps 2026. Le SEI recherche des organisations pilotes : contact info@sei.cmu.edu.</t>
  </si>
  <si>
    <t xml:space="preserve">Avant de diffuser un questionnaire en ligne dans l'entreprise : vérifiez où sont hébergées les réponses et qui y accède. Un diagnostic de maturité contient des jugements sur des équipes et des personnes.</t>
  </si>
  <si>
    <t xml:space="preserve">Barème de conversion</t>
  </si>
  <si>
    <t xml:space="preserve">Bornes score → palier. Modifiables : les formules de l'onglet Évaluation rapide s'y réfèrent.</t>
  </si>
  <si>
    <t xml:space="preserve">Borne basse</t>
  </si>
  <si>
    <t xml:space="preserve">Palier</t>
  </si>
  <si>
    <t xml:space="preserve">Lecture</t>
  </si>
  <si>
    <t xml:space="preserve">1 — IA exploratoire</t>
  </si>
  <si>
    <t xml:space="preserve">Le pilier n'est pas encore un appui : à construire avant tout déploiement.</t>
  </si>
  <si>
    <t xml:space="preserve">2 — IA implémentée</t>
  </si>
  <si>
    <t xml:space="preserve">Des éléments existent, sur un périmètre limité et sans systématisme.</t>
  </si>
  <si>
    <t xml:space="preserve">3 — IA alignée</t>
  </si>
  <si>
    <t xml:space="preserve">Le pilier est en place et suivi ; il ne bloque plus les cas d'usage courants.</t>
  </si>
  <si>
    <t xml:space="preserve">4 — IA à l'échelle</t>
  </si>
  <si>
    <t xml:space="preserve">Le pilier soutient plusieurs initiatives simultanées de façon prévisible.</t>
  </si>
  <si>
    <t xml:space="preserve">5 — IA prête pour l'avenir</t>
  </si>
  <si>
    <t xml:space="preserve">Le pilier est piloté par la mesure et s'améliore de lui-même.</t>
  </si>
  <si>
    <t xml:space="preserve">Sources et conditions de réutilisation</t>
  </si>
  <si>
    <t xml:space="preserve">Référence</t>
  </si>
  <si>
    <t xml:space="preserve">Détail</t>
  </si>
  <si>
    <t xml:space="preserve">Licence et usage</t>
  </si>
  <si>
    <t xml:space="preserve">Ozkaya et al., 2025</t>
  </si>
  <si>
    <t xml:space="preserve">A Preliminary Report on a Model for Maturing AI Adoption: From Hype to Achieving Repeatable, Predictable Outcomes. Carnegie Mellon University, Software Engineering Institute, white paper, décembre 2025. DOI 10.1184/R1/30840476.</t>
  </si>
  <si>
    <t xml:space="preserve">CC BY-NC-ND 4.0. Structure citée et paraphrasée ; aucune reproduction de texte. Modèle complet attendu au printemps 2026.</t>
  </si>
  <si>
    <t xml:space="preserve">Bettoni, Matteri, Montini, Gładysz, Carpanzano, 2021</t>
  </si>
  <si>
    <t xml:space="preserve">An AI adoption model for SMEs: a conceptual framework. IFAC-PapersOnLine 54(1), pages 702 à 708. DOI 10.1016/j.ifacol.2021.08.082. Travaux menés dans le projet KITT4SME, financement Horizon 2020, convention n° 952119.</t>
  </si>
  <si>
    <t xml:space="preserve">CC BY-NC-ND 4.0, accès ouvert. Piliers et principe de notation pondérée cités et adaptés.</t>
  </si>
  <si>
    <t xml:space="preserve">Échelles tierces</t>
  </si>
  <si>
    <t xml:space="preserve">Gartner (2019), Altimeter / Prophet (2018), Element AI (2019), Acatech Industrie 4.0 Maturity Index (2017) — telles que recensées dans l'article de 2021.</t>
  </si>
  <si>
    <t xml:space="preserve">Citées pour équivalence de vocabulaire uniquement.</t>
  </si>
  <si>
    <t xml:space="preserve">OCDE, 2026</t>
  </si>
  <si>
    <t xml:space="preserve">SME AI Readiness Tool, développé sous la présidence française du G7 2026, à partir du SME AI Adoption Blueprint de la présidence canadienne 2025. Version pilote.</t>
  </si>
  <si>
    <t xml:space="preserve">Outil public en ligne. Réservé aux pays du G7.</t>
  </si>
  <si>
    <t xml:space="preserve">Ce classeur</t>
  </si>
  <si>
    <t xml:space="preserve">Questions, poids, formulations, croisement et barème : originaux. Document de travail à usage interne.</t>
  </si>
  <si>
    <t xml:space="preserve">Non officiel. Aucun lien avec le SEI, Accenture, la SUPSI, l'IFAC ou l'OCDE.</t>
  </si>
  <si>
    <t xml:space="preserve">Les deux articles sont sous licence CC BY-NC-ND : la redistribution d'œuvres dérivées est restreinte. Ce classeur reste un document de travail interne ; il ne doit pas être publié ni commercialisé tel quel.</t>
  </si>
</sst>
</file>

<file path=xl/styles.xml><?xml version="1.0" encoding="utf-8"?>
<styleSheet xmlns="http://schemas.openxmlformats.org/spreadsheetml/2006/main">
  <numFmts count="2">
    <numFmt numFmtId="164" formatCode="General"/>
    <numFmt numFmtId="165"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5344"/>
      <name val="Arial"/>
      <family val="0"/>
      <charset val="1"/>
    </font>
    <font>
      <b val="true"/>
      <sz val="11"/>
      <color rgb="FF12181C"/>
      <name val="Arial"/>
      <family val="0"/>
      <charset val="1"/>
    </font>
    <font>
      <sz val="10"/>
      <color rgb="FF12181C"/>
      <name val="Arial"/>
      <family val="0"/>
      <charset val="1"/>
    </font>
    <font>
      <b val="true"/>
      <sz val="12"/>
      <color rgb="FFFFFFFF"/>
      <name val="Arial"/>
      <family val="0"/>
      <charset val="1"/>
    </font>
    <font>
      <sz val="9"/>
      <color rgb="FF556069"/>
      <name val="Arial"/>
      <family val="0"/>
      <charset val="1"/>
    </font>
    <font>
      <b val="true"/>
      <sz val="11"/>
      <color rgb="FF0000FF"/>
      <name val="Arial"/>
      <family val="0"/>
      <charset val="1"/>
    </font>
    <font>
      <b val="true"/>
      <sz val="12"/>
      <color rgb="FF1F5344"/>
      <name val="Arial"/>
      <family val="0"/>
      <charset val="1"/>
    </font>
    <font>
      <b val="true"/>
      <sz val="10"/>
      <color rgb="FF0000FF"/>
      <name val="Arial"/>
      <family val="0"/>
      <charset val="1"/>
    </font>
    <font>
      <u val="single"/>
      <sz val="10"/>
      <color rgb="FF0563C1"/>
      <name val="Arial"/>
      <family val="0"/>
      <charset val="1"/>
    </font>
  </fonts>
  <fills count="5">
    <fill>
      <patternFill patternType="none"/>
    </fill>
    <fill>
      <patternFill patternType="gray125"/>
    </fill>
    <fill>
      <patternFill patternType="solid">
        <fgColor rgb="FF1F5344"/>
        <bgColor rgb="FF003366"/>
      </patternFill>
    </fill>
    <fill>
      <patternFill patternType="solid">
        <fgColor rgb="FFE1EAE5"/>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C6CDC7"/>
      </left>
      <right style="thin">
        <color rgb="FFC6CDC7"/>
      </right>
      <top style="thin">
        <color rgb="FFC6CDC7"/>
      </top>
      <bottom style="thin">
        <color rgb="FFC6CD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9C7318"/>
      <rgbColor rgb="FF800080"/>
      <rgbColor rgb="FF008080"/>
      <rgbColor rgb="FFC6CDC7"/>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1EAE5"/>
      <rgbColor rgb="FFFFFF99"/>
      <rgbColor rgb="FF99CCFF"/>
      <rgbColor rgb="FFFF99CC"/>
      <rgbColor rgb="FFCC99FF"/>
      <rgbColor rgb="FFFFCC99"/>
      <rgbColor rgb="FF3366FF"/>
      <rgbColor rgb="FF33CCCC"/>
      <rgbColor rgb="FF99CC00"/>
      <rgbColor rgb="FFFFCC00"/>
      <rgbColor rgb="FFFF9900"/>
      <rgbColor rgb="FFFF6600"/>
      <rgbColor rgb="FF556069"/>
      <rgbColor rgb="FF969696"/>
      <rgbColor rgb="FF003366"/>
      <rgbColor rgb="FF339966"/>
      <rgbColor rgb="FF12181C"/>
      <rgbColor rgb="FF333300"/>
      <rgbColor rgb="FF993300"/>
      <rgbColor rgb="FF993366"/>
      <rgbColor rgb="FF333399"/>
      <rgbColor rgb="FF1F5344"/>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1.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sharedStrings" Target="sharedStrings.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customXml" Target="../customXml/item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hyperlink" Target="https://sme.oecd.ai/" TargetMode="External"/><Relationship Id="rId2" Type="http://schemas.openxmlformats.org/officeDocument/2006/relationships/hyperlink" Target="https://kitt4sme.eu/" TargetMode="External"/><Relationship Id="rId3" Type="http://schemas.openxmlformats.org/officeDocument/2006/relationships/hyperlink" Target="https://www.sei.cmu.edu/"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5344"/>
    <pageSetUpPr fitToPage="true"/>
  </sheetPr>
  <dimension ref="A1:C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78"/>
  </cols>
  <sheetData>
    <row r="1" customFormat="false" ht="25.5" hidden="false" customHeight="true" outlineLevel="0" collapsed="false">
      <c r="A1" s="1" t="s">
        <v>0</v>
      </c>
    </row>
    <row r="3" customFormat="false" ht="45" hidden="false" customHeight="true" outlineLevel="0" collapsed="false">
      <c r="B3" s="2" t="s">
        <v>1</v>
      </c>
      <c r="C3" s="3" t="s">
        <v>2</v>
      </c>
    </row>
    <row r="5" customFormat="false" ht="15" hidden="false" customHeight="false" outlineLevel="0" collapsed="false">
      <c r="B5" s="2" t="s">
        <v>3</v>
      </c>
    </row>
    <row r="6" customFormat="false" ht="30" hidden="false" customHeight="true" outlineLevel="0" collapsed="false">
      <c r="A6" s="4"/>
      <c r="B6" s="4" t="s">
        <v>4</v>
      </c>
      <c r="C6" s="4" t="s">
        <v>5</v>
      </c>
    </row>
    <row r="7" customFormat="false" ht="30" hidden="false" customHeight="true" outlineLevel="0" collapsed="false">
      <c r="A7" s="5"/>
      <c r="B7" s="5" t="s">
        <v>6</v>
      </c>
      <c r="C7" s="5" t="s">
        <v>7</v>
      </c>
    </row>
    <row r="8" customFormat="false" ht="30" hidden="false" customHeight="true" outlineLevel="0" collapsed="false">
      <c r="A8" s="6"/>
      <c r="B8" s="6" t="s">
        <v>8</v>
      </c>
      <c r="C8" s="6" t="s">
        <v>9</v>
      </c>
    </row>
    <row r="9" customFormat="false" ht="30" hidden="false" customHeight="true" outlineLevel="0" collapsed="false">
      <c r="A9" s="5"/>
      <c r="B9" s="5" t="s">
        <v>10</v>
      </c>
      <c r="C9" s="5" t="s">
        <v>11</v>
      </c>
    </row>
    <row r="10" customFormat="false" ht="30" hidden="false" customHeight="true" outlineLevel="0" collapsed="false">
      <c r="A10" s="6"/>
      <c r="B10" s="6" t="s">
        <v>12</v>
      </c>
      <c r="C10" s="6" t="s">
        <v>13</v>
      </c>
    </row>
    <row r="11" customFormat="false" ht="30" hidden="false" customHeight="true" outlineLevel="0" collapsed="false">
      <c r="A11" s="5"/>
      <c r="B11" s="5" t="s">
        <v>14</v>
      </c>
      <c r="C11" s="5" t="s">
        <v>15</v>
      </c>
    </row>
    <row r="12" customFormat="false" ht="30" hidden="false" customHeight="true" outlineLevel="0" collapsed="false">
      <c r="A12" s="6"/>
      <c r="B12" s="6" t="s">
        <v>16</v>
      </c>
      <c r="C12" s="6" t="s">
        <v>17</v>
      </c>
    </row>
    <row r="13" customFormat="false" ht="30" hidden="false" customHeight="true" outlineLevel="0" collapsed="false">
      <c r="A13" s="5"/>
      <c r="B13" s="5" t="s">
        <v>18</v>
      </c>
      <c r="C13" s="5" t="s">
        <v>19</v>
      </c>
    </row>
    <row r="14" customFormat="false" ht="30" hidden="false" customHeight="true" outlineLevel="0" collapsed="false">
      <c r="A14" s="6"/>
      <c r="B14" s="6" t="s">
        <v>20</v>
      </c>
      <c r="C14" s="6" t="s">
        <v>21</v>
      </c>
    </row>
    <row r="16" customFormat="false" ht="15" hidden="false" customHeight="false" outlineLevel="0" collapsed="false">
      <c r="B16" s="2" t="s">
        <v>22</v>
      </c>
    </row>
    <row r="17" customFormat="false" ht="31.5" hidden="false" customHeight="true" outlineLevel="0" collapsed="false">
      <c r="A17" s="5"/>
      <c r="B17" s="5" t="s">
        <v>23</v>
      </c>
      <c r="C17" s="5" t="s">
        <v>24</v>
      </c>
    </row>
    <row r="18" customFormat="false" ht="31.5" hidden="false" customHeight="true" outlineLevel="0" collapsed="false">
      <c r="A18" s="6"/>
      <c r="B18" s="6" t="s">
        <v>25</v>
      </c>
      <c r="C18" s="6" t="s">
        <v>26</v>
      </c>
    </row>
    <row r="19" customFormat="false" ht="31.5" hidden="false" customHeight="true" outlineLevel="0" collapsed="false">
      <c r="A19" s="5"/>
      <c r="B19" s="5" t="s">
        <v>27</v>
      </c>
      <c r="C19" s="5" t="s">
        <v>28</v>
      </c>
    </row>
    <row r="20" customFormat="false" ht="31.5" hidden="false" customHeight="true" outlineLevel="0" collapsed="false">
      <c r="A20" s="6"/>
      <c r="B20" s="6" t="s">
        <v>29</v>
      </c>
      <c r="C20" s="6" t="s">
        <v>30</v>
      </c>
    </row>
    <row r="21" customFormat="false" ht="31.5" hidden="false" customHeight="true" outlineLevel="0" collapsed="false">
      <c r="A21" s="5"/>
      <c r="B21" s="5" t="s">
        <v>31</v>
      </c>
      <c r="C21" s="5" t="s">
        <v>32</v>
      </c>
    </row>
    <row r="24" customFormat="false" ht="42" hidden="false" customHeight="true" outlineLevel="0" collapsed="false">
      <c r="B24" s="2" t="s">
        <v>33</v>
      </c>
      <c r="C24" s="7" t="s">
        <v>34</v>
      </c>
    </row>
  </sheetData>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5344"/>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4" min="3" style="0" width="52"/>
  </cols>
  <sheetData>
    <row r="1" customFormat="false" ht="25.5" hidden="false" customHeight="true" outlineLevel="0" collapsed="false">
      <c r="A1" s="1" t="s">
        <v>35</v>
      </c>
    </row>
    <row r="2" customFormat="false" ht="30" hidden="false" customHeight="true" outlineLevel="0" collapsed="false">
      <c r="A2" s="8" t="s">
        <v>36</v>
      </c>
      <c r="B2" s="8"/>
      <c r="C2" s="8"/>
      <c r="D2" s="8"/>
    </row>
    <row r="4" customFormat="false" ht="30" hidden="false" customHeight="true" outlineLevel="0" collapsed="false">
      <c r="A4" s="4"/>
      <c r="B4" s="4" t="s">
        <v>37</v>
      </c>
      <c r="C4" s="4" t="s">
        <v>38</v>
      </c>
      <c r="D4" s="4" t="s">
        <v>39</v>
      </c>
    </row>
    <row r="5" customFormat="false" ht="57.75" hidden="false" customHeight="true" outlineLevel="0" collapsed="false">
      <c r="A5" s="5"/>
      <c r="B5" s="5" t="s">
        <v>40</v>
      </c>
      <c r="C5" s="5" t="s">
        <v>41</v>
      </c>
      <c r="D5" s="5" t="s">
        <v>42</v>
      </c>
    </row>
    <row r="6" customFormat="false" ht="57.75" hidden="false" customHeight="true" outlineLevel="0" collapsed="false">
      <c r="A6" s="6"/>
      <c r="B6" s="6" t="s">
        <v>43</v>
      </c>
      <c r="C6" s="6" t="s">
        <v>44</v>
      </c>
      <c r="D6" s="6" t="s">
        <v>45</v>
      </c>
    </row>
    <row r="7" customFormat="false" ht="57.75" hidden="false" customHeight="true" outlineLevel="0" collapsed="false">
      <c r="A7" s="5"/>
      <c r="B7" s="5" t="s">
        <v>46</v>
      </c>
      <c r="C7" s="5" t="s">
        <v>47</v>
      </c>
      <c r="D7" s="5" t="s">
        <v>48</v>
      </c>
    </row>
    <row r="8" customFormat="false" ht="57.75" hidden="false" customHeight="true" outlineLevel="0" collapsed="false">
      <c r="A8" s="6"/>
      <c r="B8" s="6" t="s">
        <v>49</v>
      </c>
      <c r="C8" s="6" t="s">
        <v>50</v>
      </c>
      <c r="D8" s="6" t="s">
        <v>51</v>
      </c>
    </row>
    <row r="11" customFormat="false" ht="61.5" hidden="false" customHeight="true" outlineLevel="0" collapsed="false">
      <c r="B11" s="2" t="s">
        <v>52</v>
      </c>
      <c r="C11" s="9" t="s">
        <v>53</v>
      </c>
      <c r="D11" s="9"/>
    </row>
    <row r="13" customFormat="false" ht="15" hidden="false" customHeight="false" outlineLevel="0" collapsed="false">
      <c r="B13" s="2" t="s">
        <v>54</v>
      </c>
    </row>
    <row r="14" customFormat="false" ht="30" hidden="false" customHeight="true" outlineLevel="0" collapsed="false">
      <c r="A14" s="4"/>
      <c r="B14" s="4" t="s">
        <v>55</v>
      </c>
      <c r="C14" s="4" t="s">
        <v>56</v>
      </c>
      <c r="D14" s="4" t="s">
        <v>57</v>
      </c>
    </row>
    <row r="15" customFormat="false" ht="42" hidden="false" customHeight="true" outlineLevel="0" collapsed="false">
      <c r="A15" s="5"/>
      <c r="B15" s="5" t="s">
        <v>58</v>
      </c>
      <c r="C15" s="5" t="s">
        <v>59</v>
      </c>
      <c r="D15" s="5" t="s">
        <v>60</v>
      </c>
    </row>
    <row r="16" customFormat="false" ht="42" hidden="false" customHeight="true" outlineLevel="0" collapsed="false">
      <c r="A16" s="6"/>
      <c r="B16" s="6" t="s">
        <v>61</v>
      </c>
      <c r="C16" s="6" t="s">
        <v>62</v>
      </c>
      <c r="D16" s="6" t="s">
        <v>63</v>
      </c>
    </row>
    <row r="17" customFormat="false" ht="42" hidden="false" customHeight="true" outlineLevel="0" collapsed="false">
      <c r="A17" s="5"/>
      <c r="B17" s="5" t="s">
        <v>64</v>
      </c>
      <c r="C17" s="5" t="s">
        <v>65</v>
      </c>
      <c r="D17" s="5" t="s">
        <v>66</v>
      </c>
    </row>
  </sheetData>
  <mergeCells count="2">
    <mergeCell ref="A2:D2"/>
    <mergeCell ref="C11:D11"/>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5344"/>
    <pageSetUpPr fitToPage="tru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4" min="3" style="0" width="44"/>
  </cols>
  <sheetData>
    <row r="1" customFormat="false" ht="25.5" hidden="false" customHeight="true" outlineLevel="0" collapsed="false">
      <c r="A1" s="1" t="s">
        <v>67</v>
      </c>
    </row>
    <row r="2" customFormat="false" ht="30" hidden="false" customHeight="true" outlineLevel="0" collapsed="false">
      <c r="A2" s="8" t="s">
        <v>68</v>
      </c>
      <c r="B2" s="8"/>
      <c r="C2" s="8"/>
      <c r="D2" s="8"/>
    </row>
    <row r="4" customFormat="false" ht="30" hidden="false" customHeight="true" outlineLevel="0" collapsed="false">
      <c r="A4" s="4"/>
      <c r="B4" s="4" t="s">
        <v>69</v>
      </c>
      <c r="C4" s="4" t="s">
        <v>70</v>
      </c>
      <c r="D4" s="4" t="s">
        <v>71</v>
      </c>
    </row>
    <row r="5" customFormat="false" ht="51.75" hidden="false" customHeight="true" outlineLevel="0" collapsed="false">
      <c r="A5" s="5"/>
      <c r="B5" s="5" t="s">
        <v>72</v>
      </c>
      <c r="C5" s="5" t="s">
        <v>73</v>
      </c>
      <c r="D5" s="5" t="s">
        <v>74</v>
      </c>
    </row>
    <row r="6" customFormat="false" ht="51.75" hidden="false" customHeight="true" outlineLevel="0" collapsed="false">
      <c r="A6" s="6"/>
      <c r="B6" s="6" t="s">
        <v>75</v>
      </c>
      <c r="C6" s="6" t="s">
        <v>76</v>
      </c>
      <c r="D6" s="6" t="s">
        <v>77</v>
      </c>
    </row>
    <row r="7" customFormat="false" ht="51.75" hidden="false" customHeight="true" outlineLevel="0" collapsed="false">
      <c r="A7" s="5"/>
      <c r="B7" s="5" t="s">
        <v>78</v>
      </c>
      <c r="C7" s="5" t="s">
        <v>79</v>
      </c>
      <c r="D7" s="5" t="s">
        <v>80</v>
      </c>
    </row>
    <row r="8" customFormat="false" ht="51.75" hidden="false" customHeight="true" outlineLevel="0" collapsed="false">
      <c r="A8" s="6"/>
      <c r="B8" s="6" t="s">
        <v>81</v>
      </c>
      <c r="C8" s="6" t="s">
        <v>82</v>
      </c>
      <c r="D8" s="6" t="s">
        <v>83</v>
      </c>
    </row>
    <row r="9" customFormat="false" ht="51.75" hidden="false" customHeight="true" outlineLevel="0" collapsed="false">
      <c r="A9" s="5"/>
      <c r="B9" s="5" t="s">
        <v>84</v>
      </c>
      <c r="C9" s="5" t="s">
        <v>85</v>
      </c>
      <c r="D9" s="5" t="s">
        <v>86</v>
      </c>
    </row>
    <row r="10" customFormat="false" ht="51.75" hidden="false" customHeight="true" outlineLevel="0" collapsed="false">
      <c r="A10" s="6"/>
      <c r="B10" s="6" t="s">
        <v>87</v>
      </c>
      <c r="C10" s="6" t="s">
        <v>88</v>
      </c>
      <c r="D10" s="6" t="s">
        <v>89</v>
      </c>
    </row>
    <row r="11" customFormat="false" ht="51.75" hidden="false" customHeight="true" outlineLevel="0" collapsed="false">
      <c r="A11" s="5"/>
      <c r="B11" s="5" t="s">
        <v>90</v>
      </c>
      <c r="C11" s="5" t="s">
        <v>91</v>
      </c>
      <c r="D11" s="5" t="s">
        <v>92</v>
      </c>
    </row>
    <row r="12" customFormat="false" ht="51.75" hidden="false" customHeight="true" outlineLevel="0" collapsed="false">
      <c r="A12" s="6"/>
      <c r="B12" s="6" t="s">
        <v>93</v>
      </c>
      <c r="C12" s="6" t="s">
        <v>94</v>
      </c>
      <c r="D12" s="6" t="s">
        <v>95</v>
      </c>
    </row>
    <row r="13" customFormat="false" ht="51.75" hidden="false" customHeight="true" outlineLevel="0" collapsed="false">
      <c r="A13" s="5"/>
      <c r="B13" s="5" t="s">
        <v>96</v>
      </c>
      <c r="C13" s="5" t="s">
        <v>97</v>
      </c>
      <c r="D13" s="5" t="s">
        <v>98</v>
      </c>
    </row>
    <row r="14" customFormat="false" ht="51.75" hidden="false" customHeight="true" outlineLevel="0" collapsed="false">
      <c r="A14" s="6"/>
      <c r="B14" s="6" t="s">
        <v>99</v>
      </c>
      <c r="C14" s="6" t="s">
        <v>100</v>
      </c>
      <c r="D14" s="6" t="s">
        <v>101</v>
      </c>
    </row>
    <row r="15" customFormat="false" ht="51.75" hidden="false" customHeight="true" outlineLevel="0" collapsed="false">
      <c r="A15" s="5"/>
      <c r="B15" s="5" t="s">
        <v>102</v>
      </c>
      <c r="C15" s="5" t="s">
        <v>103</v>
      </c>
      <c r="D15" s="5" t="s">
        <v>104</v>
      </c>
    </row>
  </sheetData>
  <mergeCells count="1">
    <mergeCell ref="A2:D2"/>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5344"/>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4" min="3" style="0" width="44"/>
  </cols>
  <sheetData>
    <row r="1" customFormat="false" ht="25.5" hidden="false" customHeight="true" outlineLevel="0" collapsed="false">
      <c r="A1" s="1" t="s">
        <v>105</v>
      </c>
    </row>
    <row r="2" customFormat="false" ht="30" hidden="false" customHeight="true" outlineLevel="0" collapsed="false">
      <c r="A2" s="8" t="s">
        <v>106</v>
      </c>
      <c r="B2" s="8"/>
      <c r="C2" s="8"/>
      <c r="D2" s="8"/>
    </row>
    <row r="4" customFormat="false" ht="30" hidden="false" customHeight="true" outlineLevel="0" collapsed="false">
      <c r="A4" s="4"/>
      <c r="B4" s="4" t="s">
        <v>107</v>
      </c>
      <c r="C4" s="4" t="s">
        <v>108</v>
      </c>
      <c r="D4" s="4" t="s">
        <v>109</v>
      </c>
    </row>
    <row r="5" customFormat="false" ht="66" hidden="false" customHeight="true" outlineLevel="0" collapsed="false">
      <c r="A5" s="5"/>
      <c r="B5" s="5" t="s">
        <v>110</v>
      </c>
      <c r="C5" s="5" t="s">
        <v>111</v>
      </c>
      <c r="D5" s="5" t="s">
        <v>112</v>
      </c>
    </row>
    <row r="6" customFormat="false" ht="66" hidden="false" customHeight="true" outlineLevel="0" collapsed="false">
      <c r="A6" s="6"/>
      <c r="B6" s="6" t="s">
        <v>113</v>
      </c>
      <c r="C6" s="6" t="s">
        <v>114</v>
      </c>
      <c r="D6" s="6" t="s">
        <v>115</v>
      </c>
    </row>
    <row r="7" customFormat="false" ht="66" hidden="false" customHeight="true" outlineLevel="0" collapsed="false">
      <c r="A7" s="5"/>
      <c r="B7" s="5" t="s">
        <v>116</v>
      </c>
      <c r="C7" s="5" t="s">
        <v>117</v>
      </c>
      <c r="D7" s="5" t="s">
        <v>118</v>
      </c>
    </row>
    <row r="8" customFormat="false" ht="66" hidden="false" customHeight="true" outlineLevel="0" collapsed="false">
      <c r="A8" s="6"/>
      <c r="B8" s="6" t="s">
        <v>119</v>
      </c>
      <c r="C8" s="6" t="s">
        <v>120</v>
      </c>
      <c r="D8" s="6" t="s">
        <v>121</v>
      </c>
    </row>
    <row r="9" customFormat="false" ht="66" hidden="false" customHeight="true" outlineLevel="0" collapsed="false">
      <c r="A9" s="5"/>
      <c r="B9" s="5" t="s">
        <v>122</v>
      </c>
      <c r="C9" s="5" t="s">
        <v>123</v>
      </c>
      <c r="D9" s="5" t="s">
        <v>124</v>
      </c>
    </row>
    <row r="10" customFormat="false" ht="66" hidden="false" customHeight="true" outlineLevel="0" collapsed="false">
      <c r="A10" s="6"/>
      <c r="B10" s="6" t="s">
        <v>125</v>
      </c>
      <c r="C10" s="6" t="s">
        <v>126</v>
      </c>
      <c r="D10" s="6" t="s">
        <v>127</v>
      </c>
    </row>
    <row r="11" customFormat="false" ht="66" hidden="false" customHeight="true" outlineLevel="0" collapsed="false">
      <c r="A11" s="5"/>
      <c r="B11" s="5" t="s">
        <v>125</v>
      </c>
      <c r="C11" s="5" t="s">
        <v>128</v>
      </c>
      <c r="D11" s="5" t="s">
        <v>129</v>
      </c>
    </row>
    <row r="12" customFormat="false" ht="66" hidden="false" customHeight="true" outlineLevel="0" collapsed="false">
      <c r="A12" s="6"/>
      <c r="B12" s="6" t="s">
        <v>125</v>
      </c>
      <c r="C12" s="6" t="s">
        <v>130</v>
      </c>
      <c r="D12" s="6" t="s">
        <v>131</v>
      </c>
    </row>
  </sheetData>
  <mergeCells count="1">
    <mergeCell ref="A2:D2"/>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5344"/>
    <pageSetUpPr fitToPage="tru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4" min="3" style="0" width="24"/>
    <col collapsed="false" customWidth="true" hidden="false" outlineLevel="0" max="6" min="5" style="0" width="22"/>
    <col collapsed="false" customWidth="true" hidden="false" outlineLevel="0" max="7" min="7" style="0" width="46"/>
  </cols>
  <sheetData>
    <row r="1" customFormat="false" ht="25.5" hidden="false" customHeight="true" outlineLevel="0" collapsed="false">
      <c r="A1" s="1" t="s">
        <v>132</v>
      </c>
    </row>
    <row r="2" customFormat="false" ht="30" hidden="false" customHeight="true" outlineLevel="0" collapsed="false">
      <c r="A2" s="8" t="s">
        <v>133</v>
      </c>
      <c r="B2" s="8"/>
      <c r="C2" s="8"/>
      <c r="D2" s="8"/>
      <c r="E2" s="8"/>
      <c r="F2" s="8"/>
      <c r="G2" s="8"/>
    </row>
    <row r="4" customFormat="false" ht="30" hidden="false" customHeight="true" outlineLevel="0" collapsed="false">
      <c r="A4" s="4"/>
      <c r="B4" s="4" t="s">
        <v>134</v>
      </c>
      <c r="C4" s="4" t="s">
        <v>135</v>
      </c>
      <c r="D4" s="4" t="s">
        <v>136</v>
      </c>
      <c r="E4" s="4" t="s">
        <v>137</v>
      </c>
      <c r="F4" s="4" t="s">
        <v>138</v>
      </c>
      <c r="G4" s="4" t="s">
        <v>139</v>
      </c>
    </row>
    <row r="5" customFormat="false" ht="48" hidden="false" customHeight="true" outlineLevel="0" collapsed="false">
      <c r="A5" s="5"/>
      <c r="B5" s="5" t="n">
        <v>1</v>
      </c>
      <c r="C5" s="5" t="s">
        <v>140</v>
      </c>
      <c r="D5" s="5" t="s">
        <v>141</v>
      </c>
      <c r="E5" s="5" t="s">
        <v>142</v>
      </c>
      <c r="F5" s="5" t="s">
        <v>142</v>
      </c>
      <c r="G5" s="5" t="s">
        <v>143</v>
      </c>
    </row>
    <row r="6" customFormat="false" ht="48" hidden="false" customHeight="true" outlineLevel="0" collapsed="false">
      <c r="A6" s="6"/>
      <c r="B6" s="6" t="n">
        <v>2</v>
      </c>
      <c r="C6" s="6" t="s">
        <v>144</v>
      </c>
      <c r="D6" s="6" t="s">
        <v>145</v>
      </c>
      <c r="E6" s="6" t="s">
        <v>146</v>
      </c>
      <c r="F6" s="6" t="s">
        <v>146</v>
      </c>
      <c r="G6" s="6" t="s">
        <v>147</v>
      </c>
    </row>
    <row r="7" customFormat="false" ht="48" hidden="false" customHeight="true" outlineLevel="0" collapsed="false">
      <c r="A7" s="5"/>
      <c r="B7" s="5" t="n">
        <v>3</v>
      </c>
      <c r="C7" s="5" t="s">
        <v>148</v>
      </c>
      <c r="D7" s="5" t="s">
        <v>149</v>
      </c>
      <c r="E7" s="5" t="s">
        <v>150</v>
      </c>
      <c r="F7" s="5" t="s">
        <v>150</v>
      </c>
      <c r="G7" s="5" t="s">
        <v>151</v>
      </c>
    </row>
    <row r="8" customFormat="false" ht="48" hidden="false" customHeight="true" outlineLevel="0" collapsed="false">
      <c r="A8" s="6"/>
      <c r="B8" s="6" t="n">
        <v>4</v>
      </c>
      <c r="C8" s="6" t="s">
        <v>152</v>
      </c>
      <c r="D8" s="6" t="s">
        <v>153</v>
      </c>
      <c r="E8" s="6" t="s">
        <v>154</v>
      </c>
      <c r="F8" s="6" t="s">
        <v>155</v>
      </c>
      <c r="G8" s="6" t="s">
        <v>156</v>
      </c>
    </row>
    <row r="9" customFormat="false" ht="48" hidden="false" customHeight="true" outlineLevel="0" collapsed="false">
      <c r="A9" s="5"/>
      <c r="B9" s="5" t="n">
        <v>5</v>
      </c>
      <c r="C9" s="5" t="s">
        <v>157</v>
      </c>
      <c r="D9" s="5" t="s">
        <v>158</v>
      </c>
      <c r="E9" s="5" t="s">
        <v>159</v>
      </c>
      <c r="F9" s="5" t="s">
        <v>160</v>
      </c>
      <c r="G9" s="5" t="s">
        <v>161</v>
      </c>
    </row>
    <row r="11" customFormat="false" ht="30" hidden="false" customHeight="true" outlineLevel="0" collapsed="false">
      <c r="B11" s="8" t="s">
        <v>162</v>
      </c>
      <c r="C11" s="8"/>
      <c r="D11" s="8"/>
      <c r="E11" s="8"/>
      <c r="F11" s="8"/>
      <c r="G11" s="8"/>
    </row>
  </sheetData>
  <mergeCells count="2">
    <mergeCell ref="A2:G2"/>
    <mergeCell ref="B11:G11"/>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7318"/>
    <pageSetUpPr fitToPage="true"/>
  </sheetPr>
  <dimension ref="A1:G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46"/>
    <col collapsed="false" customWidth="true" hidden="false" outlineLevel="0" max="5" min="4" style="0" width="34"/>
    <col collapsed="false" customWidth="true" hidden="false" outlineLevel="0" max="6" min="6" style="0" width="9"/>
    <col collapsed="false" customWidth="true" hidden="false" outlineLevel="0" max="7" min="7" style="0" width="11"/>
  </cols>
  <sheetData>
    <row r="1" customFormat="false" ht="25.5" hidden="false" customHeight="true" outlineLevel="0" collapsed="false">
      <c r="A1" s="1" t="s">
        <v>163</v>
      </c>
    </row>
    <row r="2" customFormat="false" ht="30" hidden="false" customHeight="true" outlineLevel="0" collapsed="false">
      <c r="A2" s="8" t="s">
        <v>164</v>
      </c>
      <c r="B2" s="8"/>
      <c r="C2" s="8"/>
      <c r="D2" s="8"/>
      <c r="E2" s="8"/>
      <c r="F2" s="8"/>
      <c r="G2" s="8"/>
    </row>
    <row r="4" customFormat="false" ht="22.35" hidden="false" customHeight="true" outlineLevel="0" collapsed="false">
      <c r="B4" s="8" t="s">
        <v>165</v>
      </c>
      <c r="C4" s="8"/>
      <c r="D4" s="8"/>
      <c r="E4" s="8"/>
      <c r="F4" s="8"/>
      <c r="G4" s="8"/>
    </row>
    <row r="6" customFormat="false" ht="30" hidden="false" customHeight="true" outlineLevel="0" collapsed="false">
      <c r="A6" s="4"/>
      <c r="B6" s="4" t="s">
        <v>134</v>
      </c>
      <c r="C6" s="4" t="s">
        <v>166</v>
      </c>
      <c r="D6" s="4" t="s">
        <v>167</v>
      </c>
      <c r="E6" s="4" t="s">
        <v>168</v>
      </c>
      <c r="F6" s="4" t="s">
        <v>169</v>
      </c>
      <c r="G6" s="4" t="s">
        <v>170</v>
      </c>
    </row>
    <row r="7" customFormat="false" ht="21.75" hidden="false" customHeight="true" outlineLevel="0" collapsed="false">
      <c r="B7" s="10" t="s">
        <v>110</v>
      </c>
      <c r="C7" s="10"/>
      <c r="D7" s="10"/>
      <c r="E7" s="10"/>
      <c r="F7" s="10"/>
      <c r="G7" s="10"/>
    </row>
    <row r="8" customFormat="false" ht="33.75" hidden="false" customHeight="true" outlineLevel="0" collapsed="false">
      <c r="B8" s="11" t="s">
        <v>171</v>
      </c>
      <c r="C8" s="5" t="s">
        <v>172</v>
      </c>
      <c r="D8" s="5" t="s">
        <v>173</v>
      </c>
      <c r="E8" s="5" t="s">
        <v>174</v>
      </c>
      <c r="F8" s="11" t="n">
        <v>3</v>
      </c>
      <c r="G8" s="12"/>
    </row>
    <row r="9" customFormat="false" ht="33.75" hidden="false" customHeight="true" outlineLevel="0" collapsed="false">
      <c r="B9" s="11" t="s">
        <v>175</v>
      </c>
      <c r="C9" s="5" t="s">
        <v>176</v>
      </c>
      <c r="D9" s="5" t="s">
        <v>177</v>
      </c>
      <c r="E9" s="5" t="s">
        <v>178</v>
      </c>
      <c r="F9" s="11" t="n">
        <v>2</v>
      </c>
      <c r="G9" s="12"/>
    </row>
    <row r="10" customFormat="false" ht="33.75" hidden="false" customHeight="true" outlineLevel="0" collapsed="false">
      <c r="B10" s="11" t="s">
        <v>179</v>
      </c>
      <c r="C10" s="5" t="s">
        <v>180</v>
      </c>
      <c r="D10" s="5" t="s">
        <v>181</v>
      </c>
      <c r="E10" s="5" t="s">
        <v>182</v>
      </c>
      <c r="F10" s="11" t="n">
        <v>2</v>
      </c>
      <c r="G10" s="12"/>
    </row>
    <row r="11" customFormat="false" ht="33.75" hidden="false" customHeight="true" outlineLevel="0" collapsed="false">
      <c r="B11" s="11" t="s">
        <v>183</v>
      </c>
      <c r="C11" s="5" t="s">
        <v>184</v>
      </c>
      <c r="D11" s="5" t="s">
        <v>185</v>
      </c>
      <c r="E11" s="5" t="s">
        <v>186</v>
      </c>
      <c r="F11" s="11" t="n">
        <v>1</v>
      </c>
      <c r="G11" s="12"/>
    </row>
    <row r="13" customFormat="false" ht="21.75" hidden="false" customHeight="true" outlineLevel="0" collapsed="false">
      <c r="B13" s="10" t="s">
        <v>113</v>
      </c>
      <c r="C13" s="10"/>
      <c r="D13" s="10"/>
      <c r="E13" s="10"/>
      <c r="F13" s="10"/>
      <c r="G13" s="10"/>
    </row>
    <row r="14" customFormat="false" ht="33.75" hidden="false" customHeight="true" outlineLevel="0" collapsed="false">
      <c r="B14" s="11" t="s">
        <v>187</v>
      </c>
      <c r="C14" s="5" t="s">
        <v>188</v>
      </c>
      <c r="D14" s="5" t="s">
        <v>189</v>
      </c>
      <c r="E14" s="5" t="s">
        <v>190</v>
      </c>
      <c r="F14" s="11" t="n">
        <v>3</v>
      </c>
      <c r="G14" s="12"/>
    </row>
    <row r="15" customFormat="false" ht="33.75" hidden="false" customHeight="true" outlineLevel="0" collapsed="false">
      <c r="B15" s="11" t="s">
        <v>191</v>
      </c>
      <c r="C15" s="5" t="s">
        <v>192</v>
      </c>
      <c r="D15" s="5" t="s">
        <v>193</v>
      </c>
      <c r="E15" s="5" t="s">
        <v>194</v>
      </c>
      <c r="F15" s="11" t="n">
        <v>3</v>
      </c>
      <c r="G15" s="12"/>
    </row>
    <row r="16" customFormat="false" ht="33.75" hidden="false" customHeight="true" outlineLevel="0" collapsed="false">
      <c r="B16" s="11" t="s">
        <v>195</v>
      </c>
      <c r="C16" s="5" t="s">
        <v>196</v>
      </c>
      <c r="D16" s="5" t="s">
        <v>197</v>
      </c>
      <c r="E16" s="5" t="s">
        <v>198</v>
      </c>
      <c r="F16" s="11" t="n">
        <v>2</v>
      </c>
      <c r="G16" s="12"/>
    </row>
    <row r="17" customFormat="false" ht="33.75" hidden="false" customHeight="true" outlineLevel="0" collapsed="false">
      <c r="B17" s="11" t="s">
        <v>199</v>
      </c>
      <c r="C17" s="5" t="s">
        <v>200</v>
      </c>
      <c r="D17" s="5" t="s">
        <v>201</v>
      </c>
      <c r="E17" s="5" t="s">
        <v>202</v>
      </c>
      <c r="F17" s="11" t="n">
        <v>2</v>
      </c>
      <c r="G17" s="12"/>
    </row>
    <row r="19" customFormat="false" ht="21.75" hidden="false" customHeight="true" outlineLevel="0" collapsed="false">
      <c r="B19" s="10" t="s">
        <v>116</v>
      </c>
      <c r="C19" s="10"/>
      <c r="D19" s="10"/>
      <c r="E19" s="10"/>
      <c r="F19" s="10"/>
      <c r="G19" s="10"/>
    </row>
    <row r="20" customFormat="false" ht="33.75" hidden="false" customHeight="true" outlineLevel="0" collapsed="false">
      <c r="B20" s="11" t="s">
        <v>203</v>
      </c>
      <c r="C20" s="5" t="s">
        <v>204</v>
      </c>
      <c r="D20" s="5" t="s">
        <v>205</v>
      </c>
      <c r="E20" s="5" t="s">
        <v>206</v>
      </c>
      <c r="F20" s="11" t="n">
        <v>3</v>
      </c>
      <c r="G20" s="12"/>
    </row>
    <row r="21" customFormat="false" ht="33.75" hidden="false" customHeight="true" outlineLevel="0" collapsed="false">
      <c r="B21" s="11" t="s">
        <v>207</v>
      </c>
      <c r="C21" s="5" t="s">
        <v>208</v>
      </c>
      <c r="D21" s="5" t="s">
        <v>209</v>
      </c>
      <c r="E21" s="5" t="s">
        <v>210</v>
      </c>
      <c r="F21" s="11" t="n">
        <v>2</v>
      </c>
      <c r="G21" s="12"/>
    </row>
    <row r="22" customFormat="false" ht="33.75" hidden="false" customHeight="true" outlineLevel="0" collapsed="false">
      <c r="B22" s="11" t="s">
        <v>211</v>
      </c>
      <c r="C22" s="5" t="s">
        <v>212</v>
      </c>
      <c r="D22" s="5" t="s">
        <v>213</v>
      </c>
      <c r="E22" s="5" t="s">
        <v>214</v>
      </c>
      <c r="F22" s="11" t="n">
        <v>2</v>
      </c>
      <c r="G22" s="12"/>
    </row>
    <row r="23" customFormat="false" ht="33.75" hidden="false" customHeight="true" outlineLevel="0" collapsed="false">
      <c r="B23" s="11" t="s">
        <v>215</v>
      </c>
      <c r="C23" s="5" t="s">
        <v>216</v>
      </c>
      <c r="D23" s="5" t="s">
        <v>217</v>
      </c>
      <c r="E23" s="5" t="s">
        <v>218</v>
      </c>
      <c r="F23" s="11" t="n">
        <v>2</v>
      </c>
      <c r="G23" s="12"/>
    </row>
    <row r="25" customFormat="false" ht="21.75" hidden="false" customHeight="true" outlineLevel="0" collapsed="false">
      <c r="B25" s="10" t="s">
        <v>119</v>
      </c>
      <c r="C25" s="10"/>
      <c r="D25" s="10"/>
      <c r="E25" s="10"/>
      <c r="F25" s="10"/>
      <c r="G25" s="10"/>
    </row>
    <row r="26" customFormat="false" ht="33.75" hidden="false" customHeight="true" outlineLevel="0" collapsed="false">
      <c r="B26" s="11" t="s">
        <v>219</v>
      </c>
      <c r="C26" s="5" t="s">
        <v>220</v>
      </c>
      <c r="D26" s="5" t="s">
        <v>221</v>
      </c>
      <c r="E26" s="5" t="s">
        <v>222</v>
      </c>
      <c r="F26" s="11" t="n">
        <v>3</v>
      </c>
      <c r="G26" s="12"/>
    </row>
    <row r="27" customFormat="false" ht="33.75" hidden="false" customHeight="true" outlineLevel="0" collapsed="false">
      <c r="B27" s="11" t="s">
        <v>223</v>
      </c>
      <c r="C27" s="5" t="s">
        <v>224</v>
      </c>
      <c r="D27" s="5" t="s">
        <v>225</v>
      </c>
      <c r="E27" s="5" t="s">
        <v>226</v>
      </c>
      <c r="F27" s="11" t="n">
        <v>3</v>
      </c>
      <c r="G27" s="12"/>
    </row>
    <row r="28" customFormat="false" ht="33.75" hidden="false" customHeight="true" outlineLevel="0" collapsed="false">
      <c r="B28" s="11" t="s">
        <v>227</v>
      </c>
      <c r="C28" s="5" t="s">
        <v>228</v>
      </c>
      <c r="D28" s="5" t="s">
        <v>229</v>
      </c>
      <c r="E28" s="5" t="s">
        <v>230</v>
      </c>
      <c r="F28" s="11" t="n">
        <v>3</v>
      </c>
      <c r="G28" s="12"/>
    </row>
    <row r="29" customFormat="false" ht="33.75" hidden="false" customHeight="true" outlineLevel="0" collapsed="false">
      <c r="B29" s="11" t="s">
        <v>231</v>
      </c>
      <c r="C29" s="5" t="s">
        <v>232</v>
      </c>
      <c r="D29" s="5" t="s">
        <v>233</v>
      </c>
      <c r="E29" s="5" t="s">
        <v>234</v>
      </c>
      <c r="F29" s="11" t="n">
        <v>1</v>
      </c>
      <c r="G29" s="12"/>
    </row>
    <row r="31" customFormat="false" ht="21.75" hidden="false" customHeight="true" outlineLevel="0" collapsed="false">
      <c r="B31" s="10" t="s">
        <v>122</v>
      </c>
      <c r="C31" s="10"/>
      <c r="D31" s="10"/>
      <c r="E31" s="10"/>
      <c r="F31" s="10"/>
      <c r="G31" s="10"/>
    </row>
    <row r="32" customFormat="false" ht="33.75" hidden="false" customHeight="true" outlineLevel="0" collapsed="false">
      <c r="B32" s="11" t="s">
        <v>235</v>
      </c>
      <c r="C32" s="5" t="s">
        <v>236</v>
      </c>
      <c r="D32" s="5" t="s">
        <v>237</v>
      </c>
      <c r="E32" s="5" t="s">
        <v>238</v>
      </c>
      <c r="F32" s="11" t="n">
        <v>2</v>
      </c>
      <c r="G32" s="12"/>
    </row>
    <row r="33" customFormat="false" ht="33.75" hidden="false" customHeight="true" outlineLevel="0" collapsed="false">
      <c r="B33" s="11" t="s">
        <v>239</v>
      </c>
      <c r="C33" s="5" t="s">
        <v>240</v>
      </c>
      <c r="D33" s="5" t="s">
        <v>241</v>
      </c>
      <c r="E33" s="5" t="s">
        <v>242</v>
      </c>
      <c r="F33" s="11" t="n">
        <v>2</v>
      </c>
      <c r="G33" s="12"/>
    </row>
    <row r="34" customFormat="false" ht="33.75" hidden="false" customHeight="true" outlineLevel="0" collapsed="false">
      <c r="B34" s="11" t="s">
        <v>243</v>
      </c>
      <c r="C34" s="5" t="s">
        <v>244</v>
      </c>
      <c r="D34" s="5" t="s">
        <v>245</v>
      </c>
      <c r="E34" s="5" t="s">
        <v>246</v>
      </c>
      <c r="F34" s="11" t="n">
        <v>1</v>
      </c>
      <c r="G34" s="12"/>
    </row>
    <row r="35" customFormat="false" ht="33.75" hidden="false" customHeight="true" outlineLevel="0" collapsed="false">
      <c r="B35" s="11" t="s">
        <v>247</v>
      </c>
      <c r="C35" s="5" t="s">
        <v>248</v>
      </c>
      <c r="D35" s="5" t="s">
        <v>249</v>
      </c>
      <c r="E35" s="5" t="s">
        <v>250</v>
      </c>
      <c r="F35" s="11" t="n">
        <v>3</v>
      </c>
      <c r="G35" s="12"/>
    </row>
    <row r="38" customFormat="false" ht="19.7" hidden="false" customHeight="false" outlineLevel="0" collapsed="false">
      <c r="B38" s="1" t="s">
        <v>251</v>
      </c>
    </row>
    <row r="39" customFormat="false" ht="30" hidden="false" customHeight="true" outlineLevel="0" collapsed="false">
      <c r="A39" s="4"/>
      <c r="B39" s="4" t="s">
        <v>252</v>
      </c>
      <c r="C39" s="4" t="s">
        <v>253</v>
      </c>
      <c r="D39" s="4" t="s">
        <v>254</v>
      </c>
      <c r="E39" s="4" t="s">
        <v>255</v>
      </c>
      <c r="F39" s="4"/>
      <c r="G39" s="4"/>
    </row>
    <row r="40" customFormat="false" ht="21.75" hidden="false" customHeight="true" outlineLevel="0" collapsed="false">
      <c r="B40" s="5" t="s">
        <v>110</v>
      </c>
      <c r="C40" s="13" t="str">
        <f aca="false">IF(COUNT(G8:G11)=0,"",SUMPRODUCT(F8:F11,N(G8:G11))/(SUMPRODUCT(F8:F11)*4)*100)</f>
        <v/>
      </c>
      <c r="D40" s="11" t="str">
        <f aca="false">IF(C40="","",INDEX(Barème!$C$5:$C$9,MATCH(C40,Barème!$B$5:$B$9,1)))</f>
        <v/>
      </c>
      <c r="E40" s="11" t="str">
        <f aca="false">IF(C40="","à renseigner",IF(C40&lt;40,"frein principal",IF(C40&lt;60,"à consolider","appui")))</f>
        <v>à renseigner</v>
      </c>
    </row>
    <row r="41" customFormat="false" ht="21.75" hidden="false" customHeight="true" outlineLevel="0" collapsed="false">
      <c r="B41" s="6" t="s">
        <v>113</v>
      </c>
      <c r="C41" s="14" t="str">
        <f aca="false">IF(COUNT(G14:G17)=0,"",SUMPRODUCT(F14:F17,N(G14:G17))/(SUMPRODUCT(F14:F17)*4)*100)</f>
        <v/>
      </c>
      <c r="D41" s="15" t="str">
        <f aca="false">IF(C41="","",INDEX(Barème!$C$5:$C$9,MATCH(C41,Barème!$B$5:$B$9,1)))</f>
        <v/>
      </c>
      <c r="E41" s="15" t="str">
        <f aca="false">IF(C41="","à renseigner",IF(C41&lt;40,"frein principal",IF(C41&lt;60,"à consolider","appui")))</f>
        <v>à renseigner</v>
      </c>
    </row>
    <row r="42" customFormat="false" ht="21.75" hidden="false" customHeight="true" outlineLevel="0" collapsed="false">
      <c r="B42" s="5" t="s">
        <v>116</v>
      </c>
      <c r="C42" s="13" t="str">
        <f aca="false">IF(COUNT(G20:G23)=0,"",SUMPRODUCT(F20:F23,N(G20:G23))/(SUMPRODUCT(F20:F23)*4)*100)</f>
        <v/>
      </c>
      <c r="D42" s="11" t="str">
        <f aca="false">IF(C42="","",INDEX(Barème!$C$5:$C$9,MATCH(C42,Barème!$B$5:$B$9,1)))</f>
        <v/>
      </c>
      <c r="E42" s="11" t="str">
        <f aca="false">IF(C42="","à renseigner",IF(C42&lt;40,"frein principal",IF(C42&lt;60,"à consolider","appui")))</f>
        <v>à renseigner</v>
      </c>
    </row>
    <row r="43" customFormat="false" ht="21.75" hidden="false" customHeight="true" outlineLevel="0" collapsed="false">
      <c r="B43" s="6" t="s">
        <v>119</v>
      </c>
      <c r="C43" s="14" t="str">
        <f aca="false">IF(COUNT(G26:G29)=0,"",SUMPRODUCT(F26:F29,N(G26:G29))/(SUMPRODUCT(F26:F29)*4)*100)</f>
        <v/>
      </c>
      <c r="D43" s="15" t="str">
        <f aca="false">IF(C43="","",INDEX(Barème!$C$5:$C$9,MATCH(C43,Barème!$B$5:$B$9,1)))</f>
        <v/>
      </c>
      <c r="E43" s="15" t="str">
        <f aca="false">IF(C43="","à renseigner",IF(C43&lt;40,"frein principal",IF(C43&lt;60,"à consolider","appui")))</f>
        <v>à renseigner</v>
      </c>
    </row>
    <row r="44" customFormat="false" ht="21.75" hidden="false" customHeight="true" outlineLevel="0" collapsed="false">
      <c r="B44" s="5" t="s">
        <v>122</v>
      </c>
      <c r="C44" s="13" t="str">
        <f aca="false">IF(COUNT(G32:G35)=0,"",SUMPRODUCT(F32:F35,N(G32:G35))/(SUMPRODUCT(F32:F35)*4)*100)</f>
        <v/>
      </c>
      <c r="D44" s="11" t="str">
        <f aca="false">IF(C44="","",INDEX(Barème!$C$5:$C$9,MATCH(C44,Barème!$B$5:$B$9,1)))</f>
        <v/>
      </c>
      <c r="E44" s="11" t="str">
        <f aca="false">IF(C44="","à renseigner",IF(C44&lt;40,"frein principal",IF(C44&lt;60,"à consolider","appui")))</f>
        <v>à renseigner</v>
      </c>
    </row>
    <row r="46" customFormat="false" ht="15" hidden="false" customHeight="false" outlineLevel="0" collapsed="false">
      <c r="B46" s="16" t="s">
        <v>256</v>
      </c>
      <c r="C46" s="17" t="str">
        <f aca="false">IF(COUNT(C40:C44)&lt;5,"",MIN(C40:C44))</f>
        <v/>
      </c>
      <c r="D46" s="18" t="str">
        <f aca="false">IF(C46="","répondez aux 20 questions",INDEX(Barème!$C$5:$C$9,MATCH(C46,Barème!$B$5:$B$9,1)))</f>
        <v>répondez aux 20 questions</v>
      </c>
    </row>
    <row r="47" customFormat="false" ht="15" hidden="false" customHeight="false" outlineLevel="0" collapsed="false">
      <c r="B47" s="19" t="s">
        <v>257</v>
      </c>
      <c r="C47" s="20" t="str">
        <f aca="false">IF(COUNT(C40:C44)=0,"",AVERAGE(C40:C44))</f>
        <v/>
      </c>
      <c r="D47" s="21" t="s">
        <v>258</v>
      </c>
    </row>
    <row r="49" customFormat="false" ht="55.5" hidden="false" customHeight="true" outlineLevel="0" collapsed="false">
      <c r="B49" s="8" t="s">
        <v>259</v>
      </c>
      <c r="C49" s="8"/>
      <c r="D49" s="8"/>
      <c r="E49" s="8"/>
      <c r="F49" s="8"/>
      <c r="G49" s="8"/>
    </row>
  </sheetData>
  <mergeCells count="8">
    <mergeCell ref="A2:G2"/>
    <mergeCell ref="B4:G4"/>
    <mergeCell ref="B7:G7"/>
    <mergeCell ref="B13:G13"/>
    <mergeCell ref="B19:G19"/>
    <mergeCell ref="B25:G25"/>
    <mergeCell ref="B31:G31"/>
    <mergeCell ref="B49:G49"/>
  </mergeCells>
  <dataValidations count="1">
    <dataValidation allowBlank="true" error="Saisissez un entier de 0 à 4." errorStyle="stop" errorTitle="Réponse invalide" operator="between" showDropDown="false" showErrorMessage="true" showInputMessage="false" sqref="G8:G11 G14:G17 G20:G23 G26:G29 G32:G35" type="whole">
      <formula1>0</formula1>
      <formula2>4</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5344"/>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40"/>
    <col collapsed="false" customWidth="true" hidden="false" outlineLevel="0" max="4" min="4" style="0" width="46"/>
  </cols>
  <sheetData>
    <row r="1" customFormat="false" ht="25.5" hidden="false" customHeight="true" outlineLevel="0" collapsed="false">
      <c r="A1" s="1" t="s">
        <v>260</v>
      </c>
    </row>
    <row r="2" customFormat="false" ht="30" hidden="false" customHeight="true" outlineLevel="0" collapsed="false">
      <c r="A2" s="8" t="s">
        <v>261</v>
      </c>
      <c r="B2" s="8"/>
      <c r="C2" s="8"/>
      <c r="D2" s="8"/>
    </row>
    <row r="4" customFormat="false" ht="15" hidden="false" customHeight="false" outlineLevel="0" collapsed="false">
      <c r="B4" s="2" t="s">
        <v>262</v>
      </c>
    </row>
    <row r="5" customFormat="false" ht="48" hidden="false" customHeight="true" outlineLevel="0" collapsed="false">
      <c r="B5" s="22" t="s">
        <v>263</v>
      </c>
      <c r="C5" s="23" t="s">
        <v>264</v>
      </c>
      <c r="D5" s="7" t="s">
        <v>265</v>
      </c>
    </row>
    <row r="6" customFormat="false" ht="42" hidden="false" customHeight="true" outlineLevel="0" collapsed="false">
      <c r="B6" s="22" t="s">
        <v>5</v>
      </c>
      <c r="C6" s="22" t="s">
        <v>266</v>
      </c>
      <c r="D6" s="7" t="s">
        <v>267</v>
      </c>
    </row>
    <row r="8" customFormat="false" ht="15" hidden="false" customHeight="false" outlineLevel="0" collapsed="false">
      <c r="B8" s="2" t="s">
        <v>268</v>
      </c>
    </row>
    <row r="9" customFormat="false" ht="30" hidden="false" customHeight="true" outlineLevel="0" collapsed="false">
      <c r="A9" s="4"/>
      <c r="B9" s="4" t="s">
        <v>269</v>
      </c>
      <c r="C9" s="4" t="s">
        <v>270</v>
      </c>
      <c r="D9" s="4" t="s">
        <v>271</v>
      </c>
    </row>
    <row r="10" customFormat="false" ht="57.75" hidden="false" customHeight="true" outlineLevel="0" collapsed="false">
      <c r="B10" s="5" t="s">
        <v>272</v>
      </c>
      <c r="C10" s="24" t="s">
        <v>273</v>
      </c>
      <c r="D10" s="5" t="s">
        <v>274</v>
      </c>
    </row>
    <row r="11" customFormat="false" ht="57.75" hidden="false" customHeight="true" outlineLevel="0" collapsed="false">
      <c r="B11" s="5" t="s">
        <v>275</v>
      </c>
      <c r="C11" s="24" t="s">
        <v>276</v>
      </c>
      <c r="D11" s="5" t="s">
        <v>277</v>
      </c>
    </row>
    <row r="12" customFormat="false" ht="57.75" hidden="false" customHeight="true" outlineLevel="0" collapsed="false">
      <c r="B12" s="5" t="s">
        <v>278</v>
      </c>
      <c r="C12" s="24" t="s">
        <v>279</v>
      </c>
      <c r="D12" s="5" t="s">
        <v>280</v>
      </c>
    </row>
    <row r="14" customFormat="false" ht="31.5" hidden="false" customHeight="true" outlineLevel="0" collapsed="false">
      <c r="B14" s="8" t="s">
        <v>281</v>
      </c>
      <c r="C14" s="8"/>
      <c r="D14" s="8"/>
    </row>
  </sheetData>
  <mergeCells count="2">
    <mergeCell ref="A2:D2"/>
    <mergeCell ref="B14:D14"/>
  </mergeCells>
  <hyperlinks>
    <hyperlink ref="C10" r:id="rId1" display="https://sme.oecd.ai/"/>
    <hyperlink ref="C11" r:id="rId2" display="https://kitt4sme.eu/"/>
    <hyperlink ref="C12" r:id="rId3" display="https://www.sei.cmu.edu/"/>
  </hyperlink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7318"/>
    <pageSetUpPr fitToPage="tru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26"/>
    <col collapsed="false" customWidth="true" hidden="false" outlineLevel="0" max="4" min="4" style="0" width="60"/>
  </cols>
  <sheetData>
    <row r="1" customFormat="false" ht="25.5" hidden="false" customHeight="true" outlineLevel="0" collapsed="false">
      <c r="A1" s="1" t="s">
        <v>282</v>
      </c>
    </row>
    <row r="2" customFormat="false" ht="30" hidden="false" customHeight="true" outlineLevel="0" collapsed="false">
      <c r="A2" s="8" t="s">
        <v>283</v>
      </c>
      <c r="B2" s="8"/>
      <c r="C2" s="8"/>
      <c r="D2" s="8"/>
    </row>
    <row r="4" customFormat="false" ht="30" hidden="false" customHeight="true" outlineLevel="0" collapsed="false">
      <c r="A4" s="4"/>
      <c r="B4" s="4" t="s">
        <v>284</v>
      </c>
      <c r="C4" s="4" t="s">
        <v>285</v>
      </c>
      <c r="D4" s="4" t="s">
        <v>286</v>
      </c>
    </row>
    <row r="5" customFormat="false" ht="25.5" hidden="false" customHeight="true" outlineLevel="0" collapsed="false">
      <c r="A5" s="5"/>
      <c r="B5" s="5" t="n">
        <v>0</v>
      </c>
      <c r="C5" s="5" t="s">
        <v>287</v>
      </c>
      <c r="D5" s="5" t="s">
        <v>288</v>
      </c>
    </row>
    <row r="6" customFormat="false" ht="25.5" hidden="false" customHeight="true" outlineLevel="0" collapsed="false">
      <c r="A6" s="6"/>
      <c r="B6" s="6" t="n">
        <v>20</v>
      </c>
      <c r="C6" s="6" t="s">
        <v>289</v>
      </c>
      <c r="D6" s="6" t="s">
        <v>290</v>
      </c>
    </row>
    <row r="7" customFormat="false" ht="25.5" hidden="false" customHeight="true" outlineLevel="0" collapsed="false">
      <c r="A7" s="5"/>
      <c r="B7" s="5" t="n">
        <v>40</v>
      </c>
      <c r="C7" s="5" t="s">
        <v>291</v>
      </c>
      <c r="D7" s="5" t="s">
        <v>292</v>
      </c>
    </row>
    <row r="8" customFormat="false" ht="25.5" hidden="false" customHeight="true" outlineLevel="0" collapsed="false">
      <c r="A8" s="6"/>
      <c r="B8" s="6" t="n">
        <v>60</v>
      </c>
      <c r="C8" s="6" t="s">
        <v>293</v>
      </c>
      <c r="D8" s="6" t="s">
        <v>294</v>
      </c>
    </row>
    <row r="9" customFormat="false" ht="25.5" hidden="false" customHeight="true" outlineLevel="0" collapsed="false">
      <c r="A9" s="5"/>
      <c r="B9" s="5" t="n">
        <v>80</v>
      </c>
      <c r="C9" s="5" t="s">
        <v>295</v>
      </c>
      <c r="D9" s="5" t="s">
        <v>296</v>
      </c>
    </row>
  </sheetData>
  <mergeCells count="1">
    <mergeCell ref="A2:D2"/>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5344"/>
    <pageSetUpPr fitToPage="tru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3" min="3" style="0" width="60"/>
    <col collapsed="false" customWidth="true" hidden="false" outlineLevel="0" max="4" min="4" style="0" width="40"/>
  </cols>
  <sheetData>
    <row r="1" customFormat="false" ht="25.5" hidden="false" customHeight="true" outlineLevel="0" collapsed="false">
      <c r="A1" s="1" t="s">
        <v>297</v>
      </c>
    </row>
    <row r="4" customFormat="false" ht="30" hidden="false" customHeight="true" outlineLevel="0" collapsed="false">
      <c r="A4" s="4"/>
      <c r="B4" s="4" t="s">
        <v>298</v>
      </c>
      <c r="C4" s="4" t="s">
        <v>299</v>
      </c>
      <c r="D4" s="4" t="s">
        <v>300</v>
      </c>
    </row>
    <row r="5" customFormat="false" ht="72" hidden="false" customHeight="true" outlineLevel="0" collapsed="false">
      <c r="A5" s="5"/>
      <c r="B5" s="5" t="s">
        <v>301</v>
      </c>
      <c r="C5" s="5" t="s">
        <v>302</v>
      </c>
      <c r="D5" s="5" t="s">
        <v>303</v>
      </c>
    </row>
    <row r="6" customFormat="false" ht="72" hidden="false" customHeight="true" outlineLevel="0" collapsed="false">
      <c r="A6" s="6"/>
      <c r="B6" s="6" t="s">
        <v>304</v>
      </c>
      <c r="C6" s="6" t="s">
        <v>305</v>
      </c>
      <c r="D6" s="6" t="s">
        <v>306</v>
      </c>
    </row>
    <row r="7" customFormat="false" ht="72" hidden="false" customHeight="true" outlineLevel="0" collapsed="false">
      <c r="A7" s="5"/>
      <c r="B7" s="5" t="s">
        <v>307</v>
      </c>
      <c r="C7" s="5" t="s">
        <v>308</v>
      </c>
      <c r="D7" s="5" t="s">
        <v>309</v>
      </c>
    </row>
    <row r="8" customFormat="false" ht="72" hidden="false" customHeight="true" outlineLevel="0" collapsed="false">
      <c r="A8" s="6"/>
      <c r="B8" s="6" t="s">
        <v>310</v>
      </c>
      <c r="C8" s="6" t="s">
        <v>311</v>
      </c>
      <c r="D8" s="6" t="s">
        <v>312</v>
      </c>
    </row>
    <row r="9" customFormat="false" ht="72" hidden="false" customHeight="true" outlineLevel="0" collapsed="false">
      <c r="A9" s="5"/>
      <c r="B9" s="5" t="s">
        <v>313</v>
      </c>
      <c r="C9" s="5" t="s">
        <v>314</v>
      </c>
      <c r="D9" s="5" t="s">
        <v>315</v>
      </c>
    </row>
    <row r="11" customFormat="false" ht="31.5" hidden="false" customHeight="true" outlineLevel="0" collapsed="false">
      <c r="B11" s="8" t="s">
        <v>316</v>
      </c>
      <c r="C11" s="8"/>
      <c r="D11" s="8"/>
    </row>
  </sheetData>
  <mergeCells count="1">
    <mergeCell ref="B11:D11"/>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96B2169DD82745BBB0CFA23372EA53" ma:contentTypeVersion="11" ma:contentTypeDescription="Crée un document." ma:contentTypeScope="" ma:versionID="22fff83f02751a3a56365e5cb4ca9894">
  <xsd:schema xmlns:xsd="http://www.w3.org/2001/XMLSchema" xmlns:xs="http://www.w3.org/2001/XMLSchema" xmlns:p="http://schemas.microsoft.com/office/2006/metadata/properties" xmlns:ns2="b14945e5-a492-47f2-a6ec-f81ccb70dc92" xmlns:ns3="7e6a924b-c89d-4511-aa3a-15cd9b961e7e" targetNamespace="http://schemas.microsoft.com/office/2006/metadata/properties" ma:root="true" ma:fieldsID="5af1400cafeac0a9b157b7ecaa794f1b" ns2:_="" ns3:_="">
    <xsd:import namespace="b14945e5-a492-47f2-a6ec-f81ccb70dc92"/>
    <xsd:import namespace="7e6a924b-c89d-4511-aa3a-15cd9b961e7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4945e5-a492-47f2-a6ec-f81ccb70dc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8efec0d6-fb9f-41a7-acf8-3cff6831df6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a924b-c89d-4511-aa3a-15cd9b961e7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85697ab-1d60-48b2-b29b-bb5c0a412ad5}" ma:internalName="TaxCatchAll" ma:showField="CatchAllData" ma:web="7e6a924b-c89d-4511-aa3a-15cd9b961e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14945e5-a492-47f2-a6ec-f81ccb70dc92">
      <Terms xmlns="http://schemas.microsoft.com/office/infopath/2007/PartnerControls"/>
    </lcf76f155ced4ddcb4097134ff3c332f>
    <TaxCatchAll xmlns="7e6a924b-c89d-4511-aa3a-15cd9b961e7e" xsi:nil="true"/>
  </documentManagement>
</p:properties>
</file>

<file path=customXml/itemProps1.xml><?xml version="1.0" encoding="utf-8"?>
<ds:datastoreItem xmlns:ds="http://schemas.openxmlformats.org/officeDocument/2006/customXml" ds:itemID="{BC520B4F-217A-446A-801B-AFCB063FC074}"/>
</file>

<file path=customXml/itemProps2.xml><?xml version="1.0" encoding="utf-8"?>
<ds:datastoreItem xmlns:ds="http://schemas.openxmlformats.org/officeDocument/2006/customXml" ds:itemID="{0843091E-6720-49AB-8106-1AC25761C2AD}"/>
</file>

<file path=customXml/itemProps3.xml><?xml version="1.0" encoding="utf-8"?>
<ds:datastoreItem xmlns:ds="http://schemas.openxmlformats.org/officeDocument/2006/customXml" ds:itemID="{AD1EA3C7-07A5-4629-BC46-0FB764276582}"/>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2026-08-26T08:08:40Z</dcterms:created>
  <dcterms:modified xsi:type="dcterms:W3CDTF">2026-08-26T08:08:40Z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0x0101007196B2169DD82745BBB0CFA23372EA53</vt:lpwstr>
  </property>
</Properties>
</file>